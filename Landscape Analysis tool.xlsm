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https://learnermanipal-my.sharepoint.com/personal/sagar_psphmpl2023_learner_manipal_edu/Documents/"/>
    </mc:Choice>
  </mc:AlternateContent>
  <xr:revisionPtr revIDLastSave="2822" documentId="8_{87C0DB07-AB6B-4166-8D72-D286E7338716}" xr6:coauthVersionLast="47" xr6:coauthVersionMax="47" xr10:uidLastSave="{6F1445E4-7007-4B26-A19F-787F1482348B}"/>
  <bookViews>
    <workbookView xWindow="-120" yWindow="-120" windowWidth="29040" windowHeight="15720" firstSheet="2" activeTab="4" xr2:uid="{00000000-000D-0000-FFFF-FFFF00000000}"/>
  </bookViews>
  <sheets>
    <sheet name="country_level product" sheetId="6" state="hidden" r:id="rId1"/>
    <sheet name="Data_base" sheetId="3" state="hidden" r:id="rId2"/>
    <sheet name="HbA1c only devices" sheetId="8" r:id="rId3"/>
    <sheet name="HbA1c and multitesting devices" sheetId="9" r:id="rId4"/>
    <sheet name="Landscape analysis tool" sheetId="4" r:id="rId5"/>
  </sheets>
  <definedNames>
    <definedName name="_xlnm._FilterDatabase" localSheetId="1" hidden="1">Data_base!$A$1:$BG$51</definedName>
    <definedName name="combo">#REF!:INDEX(#REF!,MATCH("zzzzzzzzz",#REF!,1))</definedName>
    <definedName name="combo1">#REF!:INDEX(#REF!,MATCH("zzzzzzzzz",#REF!,1))</definedName>
    <definedName name="ExternalData_1" localSheetId="0" hidden="1">'country_level product'!$A$1:$D$552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 i="4" l="1"/>
  <c r="H14" i="4"/>
  <c r="B14" i="4"/>
  <c r="E28" i="4" l="1" a="1"/>
  <c r="E28" i="4" s="1"/>
  <c r="D28" i="4" a="1"/>
  <c r="D28" i="4" s="1"/>
  <c r="C28" i="4" a="1"/>
  <c r="C28" i="4" s="1"/>
  <c r="B28" i="4" a="1"/>
  <c r="B28" i="4" s="1"/>
  <c r="E22" i="4"/>
  <c r="D22" i="4"/>
  <c r="C22" i="4" l="1"/>
  <c r="B22" i="4"/>
  <c r="K18" i="4"/>
  <c r="J18" i="4"/>
  <c r="I18" i="4"/>
  <c r="H18" i="4"/>
  <c r="G18" i="4"/>
  <c r="F18" i="4"/>
  <c r="E18" i="4"/>
  <c r="D18" i="4"/>
  <c r="C18" i="4"/>
  <c r="B18" i="4"/>
  <c r="K14" i="4"/>
  <c r="J14" i="4"/>
  <c r="I14" i="4"/>
  <c r="G14" i="4"/>
  <c r="F14" i="4"/>
  <c r="E14" i="4"/>
  <c r="C14" i="4"/>
  <c r="K9" i="4"/>
  <c r="I9" i="4"/>
  <c r="J9" i="4"/>
  <c r="H9" i="4"/>
  <c r="G9" i="4"/>
  <c r="F9" i="4"/>
  <c r="E9" i="4"/>
  <c r="C9" i="4"/>
  <c r="D9" i="4"/>
  <c r="B9"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835C1D8-4239-4D96-B343-5288B5469AA4}" keepAlive="1" name="Query - Table2 (2)" description="Connection to the 'Table2 (2)' query in the workbook." type="5" refreshedVersion="8" background="1" saveData="1">
    <dbPr connection="Provider=Microsoft.Mashup.OleDb.1;Data Source=$Workbook$;Location=&quot;Table2 (2)&quot;;Extended Properties=&quot;&quot;" command="SELECT * FROM [Table2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<sst xmlns="http://schemas.openxmlformats.org/spreadsheetml/2006/main" count="7522" uniqueCount="1008">
  <si>
    <t>Product Name</t>
  </si>
  <si>
    <t>Type of test</t>
  </si>
  <si>
    <t>Attribute</t>
  </si>
  <si>
    <t>Value</t>
  </si>
  <si>
    <t>Pocketchem A1C</t>
  </si>
  <si>
    <t>HbA1c</t>
  </si>
  <si>
    <t>Bangladesh</t>
  </si>
  <si>
    <t>NA</t>
  </si>
  <si>
    <t>Bhutan</t>
  </si>
  <si>
    <t>Democratic People's Republic of Korea</t>
  </si>
  <si>
    <t>India</t>
  </si>
  <si>
    <t>Available (Suppliers and manufacturers)</t>
  </si>
  <si>
    <t>Indonesia</t>
  </si>
  <si>
    <t>Available (Local supplier)</t>
  </si>
  <si>
    <t>Maldives</t>
  </si>
  <si>
    <t>Myanmar</t>
  </si>
  <si>
    <t>Nepal</t>
  </si>
  <si>
    <t>Sri Lanka</t>
  </si>
  <si>
    <t>Thailand</t>
  </si>
  <si>
    <t>Timor-Leste</t>
  </si>
  <si>
    <t>InnovaStar</t>
  </si>
  <si>
    <t>HbA1c plus other tests</t>
  </si>
  <si>
    <t>EVYA</t>
  </si>
  <si>
    <t>SD multicare analyzer</t>
  </si>
  <si>
    <t xml:space="preserve">QDx Instacheck </t>
  </si>
  <si>
    <t>anuPath nanoA1c</t>
  </si>
  <si>
    <t>Standard F100</t>
  </si>
  <si>
    <t>Standard F200</t>
  </si>
  <si>
    <t xml:space="preserve">Unicorn Prima </t>
  </si>
  <si>
    <t>Xpress A1c analyzer</t>
  </si>
  <si>
    <t>SD A1cCare</t>
  </si>
  <si>
    <t>A1cChek Pro</t>
  </si>
  <si>
    <t>A1c EZ 2.0</t>
  </si>
  <si>
    <t>clover A1c plus</t>
  </si>
  <si>
    <t xml:space="preserve">clover A1c   </t>
  </si>
  <si>
    <t xml:space="preserve">Eclipse A1c analyzer </t>
  </si>
  <si>
    <t>The QDx A1c</t>
  </si>
  <si>
    <t>HemoCue HbA1c 501</t>
  </si>
  <si>
    <t>HumaMeter</t>
  </si>
  <si>
    <t>Quo-Lab</t>
  </si>
  <si>
    <t>Quo-Test</t>
  </si>
  <si>
    <t>A1CNOW®+</t>
  </si>
  <si>
    <t>HbA1c test</t>
  </si>
  <si>
    <t>Labona-Check A1c</t>
  </si>
  <si>
    <t>Afinion 2</t>
  </si>
  <si>
    <t>NycoCard Reader II</t>
  </si>
  <si>
    <t xml:space="preserve">Afias-1 </t>
  </si>
  <si>
    <t>ichroma II</t>
  </si>
  <si>
    <t>Allegro</t>
  </si>
  <si>
    <t>Cobas b 101</t>
  </si>
  <si>
    <t>AS100 Alere Afinion Analyzer </t>
  </si>
  <si>
    <t>DCA Vantage</t>
  </si>
  <si>
    <t>Atellica DCA analyzer</t>
  </si>
  <si>
    <t>Available (International supplier)</t>
  </si>
  <si>
    <t>Getein 1100 Immunofluorescence Quantitative Analyzer</t>
  </si>
  <si>
    <t>Palm Reader</t>
  </si>
  <si>
    <t>GETEIN 1160 immunofluorescenes quantitative analyser</t>
  </si>
  <si>
    <t>A1 care analyzer</t>
  </si>
  <si>
    <t>icare - 2100</t>
  </si>
  <si>
    <t>FA-160 Fluoroscent immunoassay</t>
  </si>
  <si>
    <t>Finecare™ FIA meter plus</t>
  </si>
  <si>
    <t>Aina HbA1c analyzer</t>
  </si>
  <si>
    <t>Smart 700/340</t>
  </si>
  <si>
    <t>Epithod 616</t>
  </si>
  <si>
    <t xml:space="preserve">FA 50 </t>
  </si>
  <si>
    <t>FIA 8000</t>
  </si>
  <si>
    <t>FIA 8600</t>
  </si>
  <si>
    <t>APOTI™ Fluorescence Immunoassay Analyzer</t>
  </si>
  <si>
    <t>Fluorecare</t>
  </si>
  <si>
    <t xml:space="preserve">AIFA-100 </t>
  </si>
  <si>
    <t>CERA STAT 2000</t>
  </si>
  <si>
    <t>Available (International Supplier)</t>
  </si>
  <si>
    <t>S.no</t>
  </si>
  <si>
    <t>Manufacturer</t>
  </si>
  <si>
    <t>Stringent Regulatory Approvals</t>
  </si>
  <si>
    <t>Traceable/Certifications</t>
  </si>
  <si>
    <t>Method</t>
  </si>
  <si>
    <t>Test Design</t>
  </si>
  <si>
    <t>Device Design</t>
  </si>
  <si>
    <t>Dimensions in mm</t>
  </si>
  <si>
    <t>Device weight in kg</t>
  </si>
  <si>
    <t>Additional Test</t>
  </si>
  <si>
    <t>Use</t>
  </si>
  <si>
    <t>User</t>
  </si>
  <si>
    <t>Type of Sample</t>
  </si>
  <si>
    <t>Volume</t>
  </si>
  <si>
    <t>Duration</t>
  </si>
  <si>
    <t>Reporting Units</t>
  </si>
  <si>
    <t>Sample Prep</t>
  </si>
  <si>
    <t>Handling</t>
  </si>
  <si>
    <t xml:space="preserve">Equipment </t>
  </si>
  <si>
    <t>Not provided</t>
  </si>
  <si>
    <t>Control</t>
  </si>
  <si>
    <t>Calibration</t>
  </si>
  <si>
    <t xml:space="preserve">Storage temeprature </t>
  </si>
  <si>
    <t xml:space="preserve">Shelf life </t>
  </si>
  <si>
    <t>Reference Range</t>
  </si>
  <si>
    <t>Limitation</t>
  </si>
  <si>
    <t>Precision</t>
  </si>
  <si>
    <t>Interference</t>
  </si>
  <si>
    <t>Data Export</t>
  </si>
  <si>
    <t>Operating temperature</t>
  </si>
  <si>
    <t>Humidity</t>
  </si>
  <si>
    <t>Power</t>
  </si>
  <si>
    <t>Display</t>
  </si>
  <si>
    <t>Memory</t>
  </si>
  <si>
    <t>Resources</t>
  </si>
  <si>
    <t xml:space="preserve">Arkray </t>
  </si>
  <si>
    <t>Japan</t>
  </si>
  <si>
    <t>International Organization for Standardization (ISO) 13485, International Federation of Clinical Chemistry and Laboratory Medicine (IFCC), National Glycohemoglobin Standardization Program (NGSP)</t>
  </si>
  <si>
    <t>Boronate affinity</t>
  </si>
  <si>
    <t>Cartridge</t>
  </si>
  <si>
    <t>Benchtop</t>
  </si>
  <si>
    <t>205 x 135 x 95</t>
  </si>
  <si>
    <t>No</t>
  </si>
  <si>
    <t>PocketChem A1c is a fast, accurate and simple glycohemoglobin analyzer with ergonomic design.</t>
  </si>
  <si>
    <t>Professional use</t>
  </si>
  <si>
    <t>Capillary whole blood, anticoagulated venous whole blood</t>
  </si>
  <si>
    <t>4 µL</t>
  </si>
  <si>
    <t>4 min</t>
  </si>
  <si>
    <t>IFCC(mmol/mol)/NGSP/DCCT (%) values</t>
  </si>
  <si>
    <t xml:space="preserve">Collect sample and insert sample stick halfway into cartridge </t>
  </si>
  <si>
    <t xml:space="preserve">Insert into cartridge and close the lid </t>
  </si>
  <si>
    <t xml:space="preserve">Analyzer,Catridges,reader,sample collector </t>
  </si>
  <si>
    <t>Use of barcode reader to scan calibration data</t>
  </si>
  <si>
    <t>4.0–15.0% / 20–140 mmol/mol</t>
  </si>
  <si>
    <t>&lt;3%</t>
  </si>
  <si>
    <t>USB</t>
  </si>
  <si>
    <t>18–30°C</t>
  </si>
  <si>
    <t>20-80%</t>
  </si>
  <si>
    <t>AC100V-240V +/- 10%  50/60Hz</t>
  </si>
  <si>
    <t xml:space="preserve">Touch screen  </t>
  </si>
  <si>
    <t>7000 tests</t>
  </si>
  <si>
    <t>https://www.arkray.co.in/english/products/pocketchem.html</t>
  </si>
  <si>
    <t>DiaSys</t>
  </si>
  <si>
    <t xml:space="preserve">Conformité Européenne - In Vitro Diagnostic (CE-IVD) </t>
  </si>
  <si>
    <t>International Federation of Clinical Chemistry and Laboratory Medicine (IFCC), National Glycohemoglobin Standardization Program (NGSP)</t>
  </si>
  <si>
    <t>Enzymatic</t>
  </si>
  <si>
    <t>200 x 170 x 150</t>
  </si>
  <si>
    <t>C-Reactive Protein , glucose/haemoglobin</t>
  </si>
  <si>
    <t xml:space="preserve">The InnovaStar is an analyzer for biochemical in-vitro diagnostics. </t>
  </si>
  <si>
    <t>10 µL</t>
  </si>
  <si>
    <t>&lt; 5 min</t>
  </si>
  <si>
    <t>Bring reagent to room temperature. Make sure that the reagent is at the bottom of the cartridge. Take the patient sample with open-end capillary as described in the user manual. Put the filled capillary in the sample cup. Mix the sample</t>
  </si>
  <si>
    <t>Place sample cup into the analyzer and start the measurement directly</t>
  </si>
  <si>
    <t xml:space="preserve">Analyzer: Innovastar, User manual, adapter  </t>
  </si>
  <si>
    <t>Standard blood collection equipmemt. Sample cups InnovaStar 10/500 (magenta cups) and open-end capillaries (10 μL/ heparinized)</t>
  </si>
  <si>
    <t>Two level control solutions: TruLab HbA1c liquid L1 TruLab HbA1c liquid L2</t>
  </si>
  <si>
    <t>Factory-calibrated Pre-calibrated tests</t>
  </si>
  <si>
    <t>2–8°C</t>
  </si>
  <si>
    <t>until expiry date</t>
  </si>
  <si>
    <t>3.0–14.0% / 9–130 mmol/mol</t>
  </si>
  <si>
    <t>The limit of detection is 30 mmol/mol HbA1c (4.9% hbA1c DCCT/NGSP). In very rare cases, samples of patients with gammopathy might give falsified results. Heterophile antibodies in patient samples may cause falsified results.</t>
  </si>
  <si>
    <t>&lt;2% at 6.24% DCCT</t>
  </si>
  <si>
    <t>The variants AS, AC, AD, AG, DD and elevated A2 showed no significant interferences. The variants AE, AJ, SS, CC, SC, SE, EE, elevated F and elevated A2/F can lead to deviant HbA1c results (&gt; 10% IFCC; &gt; 7% DCCT/NGSP).</t>
  </si>
  <si>
    <t>RS232 connection; USB connection via adapter</t>
  </si>
  <si>
    <t>Not reported</t>
  </si>
  <si>
    <t>2.8 inch colour touchscreen</t>
  </si>
  <si>
    <t xml:space="preserve">50 results </t>
  </si>
  <si>
    <t xml:space="preserve">https://www.diasys-diagnostics.com/products/poct-systems/innovastar/ </t>
  </si>
  <si>
    <t>BlueSemi.- an Indian startup</t>
  </si>
  <si>
    <t>International Organization for Standardization (ISO) 15197</t>
  </si>
  <si>
    <t>None (Non-Invasive)</t>
  </si>
  <si>
    <t>Non invasive health monitoring gadget</t>
  </si>
  <si>
    <t xml:space="preserve">Handheld </t>
  </si>
  <si>
    <t xml:space="preserve">50 x 100 x 20 </t>
  </si>
  <si>
    <t>Blood glucose, ECG,BP,Heart rate,oxygen</t>
  </si>
  <si>
    <t>Place the thumb over the sensors on the device and hold it for approximately 60 seconds to obtain results.</t>
  </si>
  <si>
    <t xml:space="preserve">Personal health monitoring </t>
  </si>
  <si>
    <t xml:space="preserve">Not required </t>
  </si>
  <si>
    <t>Not required</t>
  </si>
  <si>
    <t>1 min</t>
  </si>
  <si>
    <t xml:space="preserve">No preparation required </t>
  </si>
  <si>
    <t xml:space="preserve">EVYA, USB - C charging cable </t>
  </si>
  <si>
    <t xml:space="preserve">Not reported </t>
  </si>
  <si>
    <t xml:space="preserve">Via Bluetooth to Mobile phone </t>
  </si>
  <si>
    <t xml:space="preserve">Battery </t>
  </si>
  <si>
    <t xml:space="preserve">No display </t>
  </si>
  <si>
    <t>https://www.eyva.io/</t>
  </si>
  <si>
    <t>SD Biosensor, Korea</t>
  </si>
  <si>
    <t>Conformité Européenne - In Vitro Diagnostic (CE-IVD), U.S Food and Drug Administration (FDA)</t>
  </si>
  <si>
    <t>International Federation of Clinical Chemistry and Laboratory Medicine (IFCC), National Glycohemoglobin Standardization Program (NGSP), JDS</t>
  </si>
  <si>
    <t>Immunoassay</t>
  </si>
  <si>
    <t xml:space="preserve">Test strips </t>
  </si>
  <si>
    <t>163 x 96 x 56</t>
  </si>
  <si>
    <t>Lipid Panel, C-Reactive Protein , U-Albumin</t>
  </si>
  <si>
    <t xml:space="preserve">MultiCare™ System is a portable reflectometry immunoassay instrument for the quantitative measurement of HbA1c. It is a convenient in-vitro diagnostic. </t>
  </si>
  <si>
    <t>5 µL</t>
  </si>
  <si>
    <t>3-5 min</t>
  </si>
  <si>
    <t>Insert a test panel, apply sample to the test panel , check result after 3 mins</t>
  </si>
  <si>
    <t>Insert the test panel into the analyzer</t>
  </si>
  <si>
    <t>Analyzer, adapter, SD HbA1c check strip, user manual, quick guide</t>
  </si>
  <si>
    <t xml:space="preserve">Easy calibration by cartridges </t>
  </si>
  <si>
    <t>0 °C - 32°C</t>
  </si>
  <si>
    <t>18 months</t>
  </si>
  <si>
    <t>4.0-15.0%/20-140mmol/mol</t>
  </si>
  <si>
    <t>≤3%</t>
  </si>
  <si>
    <t>Mini USB, Bluetooth(optional)</t>
  </si>
  <si>
    <t>15–32°C</t>
  </si>
  <si>
    <t>10-90%</t>
  </si>
  <si>
    <t>100 – 240V AC, 50-60Hz</t>
  </si>
  <si>
    <t>LCD display</t>
  </si>
  <si>
    <t>1000 patient data</t>
  </si>
  <si>
    <t>https://www.sdbiosensor.com/product/product_view?product_no=89</t>
  </si>
  <si>
    <t>DiaSys India</t>
  </si>
  <si>
    <t>Immunoassay (Fluorescent)</t>
  </si>
  <si>
    <t>250 x 185 x 80 (LXWXH)</t>
  </si>
  <si>
    <t>Vitamin D, Ferritin, Microalbumin, PCT, C-Reactive Protein, Prolactin, Troponin-I, hsC-Reactive Protein, Thyroid functions.</t>
  </si>
  <si>
    <t>QDx Instacheck™ is a POC diagnostic system that allows patients to have easy access to medical treatment, not only in major hospitals ICU’s and NICU’s or laboratories but also in doctor’s clinics and even near the site of patient care.</t>
  </si>
  <si>
    <t xml:space="preserve">Capillary whole blood  </t>
  </si>
  <si>
    <t>12 min</t>
  </si>
  <si>
    <t xml:space="preserve">Collect sample using a reagent pack </t>
  </si>
  <si>
    <t xml:space="preserve">Insert cartridge into the analyzer, Insert reagent pack into the test cartridge and close the lid  </t>
  </si>
  <si>
    <t>Analyzer: DxA1c analyzer, adapter, user manualTest kit: Quick guide, cartridge</t>
  </si>
  <si>
    <t xml:space="preserve">Alcohol swab, Lancet </t>
  </si>
  <si>
    <t xml:space="preserve">Mini USB  </t>
  </si>
  <si>
    <t xml:space="preserve">15–35°C </t>
  </si>
  <si>
    <t>&lt; 70%</t>
  </si>
  <si>
    <t>100 - 240V AC, 50/60 Hz, 3-5A</t>
  </si>
  <si>
    <t>https://www.diasys.in/fileadmin/Diasys_India/QDx_Flyer/Instacheck_brochure_6_page_new_branding_single_page.pdf?_=1562911496</t>
  </si>
  <si>
    <t xml:space="preserve">Path Shodh Healthcare </t>
  </si>
  <si>
    <t xml:space="preserve">International Organization for Standardization (ISO) 13485  </t>
  </si>
  <si>
    <t>90 x 60 x 16</t>
  </si>
  <si>
    <t>Blood glucose</t>
  </si>
  <si>
    <t>anuPath is an easy to use point-of-care handheld diagnostic device based on cutting edge patented technology. It provides reliable and accurate diagnostic test results.</t>
  </si>
  <si>
    <t>Capillary whole blood</t>
  </si>
  <si>
    <t>Collect blood sampl</t>
  </si>
  <si>
    <t xml:space="preserve">Insert strip, select test, Apply sample, Get result </t>
  </si>
  <si>
    <t xml:space="preserve">anuPath meter, Test strips, Lancing pen, Lancet, Alcohol swab </t>
  </si>
  <si>
    <t>10 - 40°C</t>
  </si>
  <si>
    <t xml:space="preserve">5.0 –15.0% </t>
  </si>
  <si>
    <t>15–40°C</t>
  </si>
  <si>
    <t>One(1) CR 2032 3.0 V coin cell</t>
  </si>
  <si>
    <t>5 inch touch screen</t>
  </si>
  <si>
    <t>https://pathshodh.com/pathshodh-anuPath-glucose-HbA1c-meter</t>
  </si>
  <si>
    <t xml:space="preserve">Cartridge </t>
  </si>
  <si>
    <t>105x 135x 100</t>
  </si>
  <si>
    <t xml:space="preserve">Respiratory disease, Vector-borne disease, Hepatitis, Cardiac marker, Inflammation, Chronic disease, Hormone, Tumor marker. </t>
  </si>
  <si>
    <t>STANDARD F100 Analyzer performs qualitative and quantitative analyses on infections, respiratory diseases and chronic diseases, and it is operable with battery.</t>
  </si>
  <si>
    <t>3 min</t>
  </si>
  <si>
    <t xml:space="preserve">Analyzer, Calibration set, User manual, Quick Manual, External printer, Power cable, AC/DC adaptor. Test kit: Test device, buffer bottle, centrifuge tube </t>
  </si>
  <si>
    <t>2 Level controls (SDB HbA1c Control ) 10T/Kit</t>
  </si>
  <si>
    <t>(-20-50 °C)</t>
  </si>
  <si>
    <t xml:space="preserve">Bluetooth </t>
  </si>
  <si>
    <t>AC/DC adapter or battery</t>
  </si>
  <si>
    <t>Graphic LCD</t>
  </si>
  <si>
    <t xml:space="preserve">https://www.sdbiosensor.com/product/product_view?product_no=178 </t>
  </si>
  <si>
    <t>Immunoassay (Fluroscent)</t>
  </si>
  <si>
    <t>200 x 240 x 205</t>
  </si>
  <si>
    <t>STANDARD F200 Analyzer performs qualitative and quantitative analyses on infections, respiratory diseases and chronic diseases, and it supports convenient user interface and LIS/HIS connectivity</t>
  </si>
  <si>
    <t xml:space="preserve">Collect blood, add on the test device, add 3 drops of buffer. </t>
  </si>
  <si>
    <t>Insert test device and analyzer</t>
  </si>
  <si>
    <t xml:space="preserve">Analyzer, PU protection film, Calibration set, User manual, Power cable, AC/DC adaptor. Test kit: Test device, buffer bottle, centrifuge tube </t>
  </si>
  <si>
    <t xml:space="preserve">Lancet, capillary tube </t>
  </si>
  <si>
    <t xml:space="preserve">LIS/HIS connection </t>
  </si>
  <si>
    <t xml:space="preserve">7 inch touch screen </t>
  </si>
  <si>
    <t xml:space="preserve">https://www.sdbiosensor.com/product/product_view?product_no=179 </t>
  </si>
  <si>
    <t>Vector</t>
  </si>
  <si>
    <t xml:space="preserve">Conformité Européenne - In Vitro Diagnostic (CE-IVD), National Medical Products Administration (NMPA)  </t>
  </si>
  <si>
    <t>Free Sale Certificates (FSC), National Glycohemoglobin Standardization Program (NGSP)</t>
  </si>
  <si>
    <t>Immunoassay (Lateral flow chromatography)</t>
  </si>
  <si>
    <t>261 x 241x 115 (DxWxH)</t>
  </si>
  <si>
    <t xml:space="preserve">Cardiac markers, Inflammation, Renal function, Hormone, Bone </t>
  </si>
  <si>
    <t>The Unicorn Prima HbA1c Analyzer provides highly efficient and accurate testing. Its rapid, one-step testing process.</t>
  </si>
  <si>
    <t>Whole Blood, Serum, Plasma,  Urine</t>
  </si>
  <si>
    <t>10 µl</t>
  </si>
  <si>
    <t>5 min</t>
  </si>
  <si>
    <t>Insert test card and click start icon</t>
  </si>
  <si>
    <t xml:space="preserve">2.0 –14.0% </t>
  </si>
  <si>
    <t>10-35°C</t>
  </si>
  <si>
    <t>≤ 70%</t>
  </si>
  <si>
    <t>10000 data</t>
  </si>
  <si>
    <t xml:space="preserve">https://www.vectorbiotekindia.com/products_details.php?c_id=19 </t>
  </si>
  <si>
    <t>Accurex</t>
  </si>
  <si>
    <t>U.S Food and Drug Administration (FDA)</t>
  </si>
  <si>
    <t>International Federation of Clinical Chemistry and Laboratory Medicine (IFCC) ,National Glycohemoglobin Standardization Program (NGSP)</t>
  </si>
  <si>
    <t xml:space="preserve">61.6 x 122.9 x 24.5 </t>
  </si>
  <si>
    <t>Accurex Xpress A1c Glycohemoglobin analyzer is used for testing glyochemoglobin concentration as an aid to monitor the risk of developing diabetes &amp; control the status of diabetes.</t>
  </si>
  <si>
    <t>Capillary fingerstick or venous whole blood</t>
  </si>
  <si>
    <t>3 µL</t>
  </si>
  <si>
    <t xml:space="preserve">5 min </t>
  </si>
  <si>
    <t>Equilibrate the reagents to room temperature, collect sample</t>
  </si>
  <si>
    <t>Insert the test strip, Apply the sample</t>
  </si>
  <si>
    <t xml:space="preserve">Analyzer, A1c manual, operational manual, cleaning and maintenance procedure guide; Test kit: calibration chip, Buffer A, Buffer B, Test strips and sampler. </t>
  </si>
  <si>
    <t>Lancet, wipes</t>
  </si>
  <si>
    <t>Level 1 and level 2</t>
  </si>
  <si>
    <t>24 months</t>
  </si>
  <si>
    <t>4.0 –14.0% / 20 -130 mmol/mol</t>
  </si>
  <si>
    <t>Mini USB</t>
  </si>
  <si>
    <t>10-40°C</t>
  </si>
  <si>
    <t>30-75%</t>
  </si>
  <si>
    <t>6.0V, AAA Battery x 4</t>
  </si>
  <si>
    <t>1000 tests</t>
  </si>
  <si>
    <t>https://accurex.net/product/xpress-a1c-meter-hba1c/?srsltid=AfmBOorz4bh4sntApntucvEy6gvyt12_jBF3AaqI7Se_11ky4ErEvL3Y</t>
  </si>
  <si>
    <t>Available (Manufacturers)</t>
  </si>
  <si>
    <t xml:space="preserve">SD Biosensor </t>
  </si>
  <si>
    <t>Conformité Européenne - In Vitro Diagnostic (CE-IVD)</t>
  </si>
  <si>
    <t>SD A1cCare is an optimized system applicable at the point-of-care testing field.</t>
  </si>
  <si>
    <t>SD A1cCare™ analyzer for HbA1c testing is designed for monitoring fresh capillary or
venous whole blood. Do not use the frozen blood or the artificial materials not allowed.</t>
  </si>
  <si>
    <t>Insert a test panel, Take 5 µL of blood sample, and mix it with buffer solution, Apply the mixed sample to the test panel, check the result after 3 mins.</t>
  </si>
  <si>
    <t>Analyzer: A1c Care Analyzer, Check strip, DC adapter, User manual, Quick guide. Test kit: Test setx20, Buffer tube x 20, Code-chip, Test kit insert. HbA1c control: Level 1x 10 , Level 2 x 10</t>
  </si>
  <si>
    <t>1-30°C</t>
  </si>
  <si>
    <t xml:space="preserve">5V/2A AC power adapter or 4 AA alkaline batteries can be used </t>
  </si>
  <si>
    <t>https://ethitech.co.za/wp-content/uploads/2019/05/SD-A1cCare-User-guide.pdf</t>
  </si>
  <si>
    <t>Wuxi BioHermes</t>
  </si>
  <si>
    <t>341 × 266 × 234</t>
  </si>
  <si>
    <t>The A1cChek Pro Glycohemoglobin Analyzer, conduct efficient screen of patients at risk of diabetes and make timely medical decision to diabetic patients.</t>
  </si>
  <si>
    <t>Professional use only in physicians’ office or health clinics</t>
  </si>
  <si>
    <t xml:space="preserve">Collect blood samples. Add the blood to the strips </t>
  </si>
  <si>
    <t xml:space="preserve">Buffer bottle installation, code chip insertion, ID input, Strip insertion, Blood adding </t>
  </si>
  <si>
    <t xml:space="preserve">Analyzer: A1cChek Pro Glycohemoglobin analyzer, power adapter, user manual, quick guide, cleaning and maintenace guide, warranty hangtag  Test: Blood collector, Test strip, sampler, code chip, Buffer A, Buffer B, Blood collector. </t>
  </si>
  <si>
    <t>Cotton swab, alcohol swab, lancet</t>
  </si>
  <si>
    <t>Auto calibration</t>
  </si>
  <si>
    <t>(-20-55°C)</t>
  </si>
  <si>
    <t>USB, RJ45 LAN, RS232-C</t>
  </si>
  <si>
    <t xml:space="preserve">External power adapter AC input 100-240V~, 1.5A, 50-60Hz; DC output 19.0V, 4.74A
</t>
  </si>
  <si>
    <t>1000 results</t>
  </si>
  <si>
    <t>123 × 62 × 25</t>
  </si>
  <si>
    <t>For diagnosis of diabetes, to evaluate the effectiveness of glycaemic control of patients, screening of high-risk group of diabetes</t>
  </si>
  <si>
    <t>6 min</t>
  </si>
  <si>
    <t>Insert the code chip, insert the test strip. Collect blood with sampler. Add 3 drops of buffer A to test strip. Press the sampler thread onto the test strip. Add 3 drops of buffer B</t>
  </si>
  <si>
    <t>Read the test result</t>
  </si>
  <si>
    <t>Analyzer: A1c EZ 2.0, user's manual, operation guide, cleaning and maintenance guide, warranty card. Tests: test strips, buffer A, buffer B, blood sampler, code chip, package insert</t>
  </si>
  <si>
    <t>None</t>
  </si>
  <si>
    <t>20-22°C</t>
  </si>
  <si>
    <t>12 months</t>
  </si>
  <si>
    <t>&lt;4%</t>
  </si>
  <si>
    <t>No interference from HbF and haemoglobin variants or unstable glycohemoglobin</t>
  </si>
  <si>
    <t>Bluetooth, USB</t>
  </si>
  <si>
    <t>10–40°C</t>
  </si>
  <si>
    <t>Battery powered 3V CR2032</t>
  </si>
  <si>
    <t>LCD</t>
  </si>
  <si>
    <t>https://www.boditech.co.kr/en/product/instruments/id/4</t>
  </si>
  <si>
    <t>OSANG</t>
  </si>
  <si>
    <t>Conformité Européenne - In Vitro Diagnostic (CE-IVD),U.S Food and Drug Administration (FDA)</t>
  </si>
  <si>
    <t>200 x 200 x 139</t>
  </si>
  <si>
    <t xml:space="preserve">The CLOVER A1c Plus is an IVD device for measuring Hemoglobin A1c in whole blood. </t>
  </si>
  <si>
    <t>Professionals in laboratories, clinics and hospitals</t>
  </si>
  <si>
    <t>If refrigerated, equilibrate to room temperature before use. The sample collection device is in the cartridge. Remove it. Collect blood from finger.</t>
  </si>
  <si>
    <t>Insert the test cartridge into the analyzer. Press the sample collector into the cartridge.</t>
  </si>
  <si>
    <t>Analyzer: Clover A1c Plus, instruction manual, DC 9 volt, 2.0A adapter, fan filters, daily check cartridge, monthly check cartridge. Tests: cartridge with sample collector</t>
  </si>
  <si>
    <t>No control solutions provided. Two level control solutions from other manufacturers can be used.</t>
  </si>
  <si>
    <t>2–32°C</t>
  </si>
  <si>
    <t>The CLOVER A1c Plus assay gives accurate and precise results over a range of total Haemoglobin of 7 to 20 g/dL. Patients with severe anaemia may have Haemoglobin concentrations lower than 7 g/dL, and patients with polycythaemia may have Haemoglobin concentrations above 20 g/dL</t>
  </si>
  <si>
    <t>Communication with PC by cable (USB to Serial port)</t>
  </si>
  <si>
    <t>10–90%</t>
  </si>
  <si>
    <t>DC 9V, 2A Adapter No battery</t>
  </si>
  <si>
    <t>https://www.osanghc.com/en/customer_en/archive/?mod=document&amp;uid=117</t>
  </si>
  <si>
    <t>200 x 198 x 139</t>
  </si>
  <si>
    <t>Clover A1c  measures hemoglobin A1c (HbA1c) levels in the blood. This test provides insight into a person's average blood sugar levels over the past two to three months</t>
  </si>
  <si>
    <t>Open the analyzer, Insert the cartridge, insert the reagent pack into the cartridge in the analyzer, close the lid of the analyzer.</t>
  </si>
  <si>
    <t>Analyzer: Clover A1c, Adapter, power cable, user manual; Test kit: Reagent pack, cartridge, sample collector.</t>
  </si>
  <si>
    <t>2–30°C</t>
  </si>
  <si>
    <t>17–32°C</t>
  </si>
  <si>
    <t>DC 9V 2.0A</t>
  </si>
  <si>
    <t>200 tests</t>
  </si>
  <si>
    <t>Apexbio</t>
  </si>
  <si>
    <t xml:space="preserve">248 x 162 x 95 </t>
  </si>
  <si>
    <t>Eclipse A1c offers a fast and easy way to measure HbA1c in a clinic or long-term care facility that prioritizes speed and convenience</t>
  </si>
  <si>
    <t>1 µL</t>
  </si>
  <si>
    <t xml:space="preserve">Collect blood samples, insert the capillary holder into the cartridge </t>
  </si>
  <si>
    <t xml:space="preserve">Insert the cartridge into the analyzer and close the lid </t>
  </si>
  <si>
    <t xml:space="preserve">Analyzer: Eclipse A1c, Power cable with AC adaptor, Air filter, Reagent cartridge </t>
  </si>
  <si>
    <t>18–35°C</t>
  </si>
  <si>
    <t>500 tests</t>
  </si>
  <si>
    <t>https://www.globalpointofcare.abbott/us/en/support/product-demos/afinion.html</t>
  </si>
  <si>
    <t>Cassette</t>
  </si>
  <si>
    <t>205 x 220 x 150</t>
  </si>
  <si>
    <t xml:space="preserve">The QDx A1c Advance System is primarily used for the quantitative determination of Hemoglobin A1c (HbA1c) </t>
  </si>
  <si>
    <t>3.5 µL</t>
  </si>
  <si>
    <t>4 min 30sec</t>
  </si>
  <si>
    <t xml:space="preserve">Insert the reagent pack into the cassette in the analyzer. The test starts automatically once the lid is closed </t>
  </si>
  <si>
    <t>Analyzer, cassette, reagent pack</t>
  </si>
  <si>
    <t>Auto calibrated test cassettes</t>
  </si>
  <si>
    <t>15–75%</t>
  </si>
  <si>
    <t>DC 12V-3.33 A</t>
  </si>
  <si>
    <t>3.5 inch colour touch screen</t>
  </si>
  <si>
    <t>5000 tests</t>
  </si>
  <si>
    <t>https://www.diasys.in/poct/table-top-devices/qdx-a1c-advance/</t>
  </si>
  <si>
    <t>HemoCue</t>
  </si>
  <si>
    <t>198 x 217 x 136</t>
  </si>
  <si>
    <t xml:space="preserve">The HemoCue® HbA1c 501 System provides a convenient method for measuring the percentage of hemoglobin A1c (HbA1c %) in both capillary and anticoagulated venous whole blood samples. </t>
  </si>
  <si>
    <t>If refrigerated, equilibrate to room temperature before use. The reagent pack is in the cartridge. Remove it and shake gently. Apply the reagent pack to the fingertip to collect blood from finger.</t>
  </si>
  <si>
    <t>Insert the test cartridge into the analyzer. Press the reagent pack into the cartridge</t>
  </si>
  <si>
    <t>Analyzer: Hemocue® HbA1c 501 analyzer, operating manual, exclusive power adapter, fan filters, daily check cartridge, monthly check cartridge. Tests; cartridge with reagent pack</t>
  </si>
  <si>
    <t>Built-in ”self test”. Check Cartridge. System can be verified using liquid controls</t>
  </si>
  <si>
    <t>Factory calibrated. Lot-specific calibration</t>
  </si>
  <si>
    <t>The HemoCue HbA1c 501 assay gives accurate and precise haemoglobin results in the range 7 to 20 g/dL. Patients with severe anaemia may have haemoglobin concentrations below 7 g/dL, and patients with polycythaemia may have haemoglobin concentrations above 20 g/dL. Patients known to have these conditions should be tested with another method for determination of HbA1c %</t>
  </si>
  <si>
    <t>Studies confirm that no interference for the variants C, D, E, F and S were obtained, but HbF values above 20% may cause unreliable results</t>
  </si>
  <si>
    <t>USB serial port to PC</t>
  </si>
  <si>
    <t>9 V DC / 2 A</t>
  </si>
  <si>
    <t>yes</t>
  </si>
  <si>
    <t>https://www.lumiradx.com/en-uk/products/hba1c</t>
  </si>
  <si>
    <t>HUMAN Diagnostics</t>
  </si>
  <si>
    <t>205 x 95 x 135</t>
  </si>
  <si>
    <t>The HumaMeterA1c system is intended for the diagnosis of diabetes mellitus and for monitoring longterm glycaemic control in patients diagnosed with diabetes</t>
  </si>
  <si>
    <t>Equilibrate to room temperature. Scan lot calibration. Remove cartridge foil. IInsert cartridge into analyzer. Press reagent bead into cartridge. Insert sample stick into cartridge.</t>
  </si>
  <si>
    <t>Close analyzer lid</t>
  </si>
  <si>
    <t>Analyzer: HumaMeter, user manual, barcode scanner, power supply. Tests: test cartridges, sample sticks, instructions for use, calibration barcode</t>
  </si>
  <si>
    <t>HumaMeter A1c Control Kit contains level 1 &amp; level 2 liquids</t>
  </si>
  <si>
    <t>2-8°C</t>
  </si>
  <si>
    <t>&lt;3% at 7 %A1c</t>
  </si>
  <si>
    <t>No interference from Hb variants other than those affecting erythrocyte lifespan</t>
  </si>
  <si>
    <t>via USB to PC</t>
  </si>
  <si>
    <t xml:space="preserve">&lt;85% </t>
  </si>
  <si>
    <t>110...240 v AC, 24 V DC / 1.25A</t>
  </si>
  <si>
    <t>EKF Diagnostics</t>
  </si>
  <si>
    <t xml:space="preserve">No </t>
  </si>
  <si>
    <t>The Quo-Lab A1C System is indicated in the management and treatment of diabetes mellitus and for monitoring long term glycemic control in patients diagnosed with diabetes</t>
  </si>
  <si>
    <t>Clinics and laboratories in settings that demand low cost of operation and ease of use</t>
  </si>
  <si>
    <t>Insert cartridge into analyzer. Press reagent bead into cartridge. Insert sample tool into cartridge and snap off handle.</t>
  </si>
  <si>
    <t>Collect blood sample. Insert sample collector into the cartridge.</t>
  </si>
  <si>
    <t>Analyzer: Quo-Lab Analyzer, barcode scanner, mains power cable, power supply, user manual. Test: test cartridges, blood collectors, calibration barcode, instructions for use</t>
  </si>
  <si>
    <t>Fingertip lancets</t>
  </si>
  <si>
    <t>Quo-Lab A1c Control Kit contains two level control solutions</t>
  </si>
  <si>
    <t>Factory-calibrated Lot-specific calibration</t>
  </si>
  <si>
    <t>15–25°C</t>
  </si>
  <si>
    <t>30 days</t>
  </si>
  <si>
    <t>For haemoglobin concentrations outside the range of 6.5 g/dL to 20.4 g/dL (4.0 mmol/l to 12.7 mmol/l) or for HbA1c values outside the range of 4.0 % to 15.0 % DCCT (20 mmol/mol to 140 mmol/mol IFCC), a result will not be reported and an error message will be displayed.</t>
  </si>
  <si>
    <t>Unaffected by Hb variants which do not result in reduced erythrocyte life span</t>
  </si>
  <si>
    <t>10–80%</t>
  </si>
  <si>
    <t>Separate AC to DC mains adapter Input: 100–240 V AC, 50-60 Hz, 30 W Output: 24 V DC, 1.25A</t>
  </si>
  <si>
    <t>Integrated screen</t>
  </si>
  <si>
    <t>205 x 135 x 205</t>
  </si>
  <si>
    <t>The Quo-Test A1C System is indicated in the management and treatment of diabetes mellitus and for monitoring long term glycemic control in patients diagnosed with diabetes</t>
  </si>
  <si>
    <t>Insert cartridge into analyzer</t>
  </si>
  <si>
    <t>Analyzer: Quo-Test Analyzer, barcode scanner, mains power cable, power supply, user manual. Test: test cartridges, blood collectors, calibration barcode, instructions for use</t>
  </si>
  <si>
    <t>Quo-Test A1c Control Kit contains two level control solutions</t>
  </si>
  <si>
    <t xml:space="preserve"> 15–25°C</t>
  </si>
  <si>
    <t>For haemoglobin concentrations outside the range of 6.5 g/dL to 20.4 g/dL (4.0 mmol/l to 12.7 mmol/l) or for HbA1c values outside the range of 4.0 % to 15.0 % DCCT (20 mmol/mol to 140 mmol/mol IFCC), a result will not be reported and an error message will be displayed. Consult the Quo-Test Analyzer System User Manual for further details.</t>
  </si>
  <si>
    <t>Unaffected by labile glycated haemoglobin and the following haemoglobin variants: Hb AS, Hb AC, Hb AD, Hb AE, Hb AJ, Hb SS, Hb CC, Hb SC, and elevated foetal haemoglobin (up to 6 %).</t>
  </si>
  <si>
    <t>Blue LCD backlit monochrome display 128x64 pixels. Visible area 70x39mm</t>
  </si>
  <si>
    <t>https://www.getein.com/getein-1160-immunofluorescence-quantitative-analyzer_p91.html</t>
  </si>
  <si>
    <t>PTS diagnostics</t>
  </si>
  <si>
    <t>Conformité Européenne - In Vitro Diagnostic (CE-IVD),U.S Food and Drug Administration (FDA),The Clinical Laboratory Improvement Amendments (CLIA) - waived</t>
  </si>
  <si>
    <t xml:space="preserve">177.8 x 101.6 x 228.6 </t>
  </si>
  <si>
    <t>The A1CNow®+ system provides healthcare professionals with a fast and easy way of obtaining accurate A1C results with just a fingerstick.</t>
  </si>
  <si>
    <t>Equilibrate to room temperature. Apply collection device to a shaker, shake briefly and apply to cartridge</t>
  </si>
  <si>
    <t>Blood collector measuring 5 uL blood sample (located in pouch 1). After sample application is applied, the test cartridge will activate the 5 minute countdown</t>
  </si>
  <si>
    <t>(1) A1c Now+ Monitor, (10) Single-Use Cartridges, (10) Sample Dilution Kits, (1) Product Insert / Procedure Guide</t>
  </si>
  <si>
    <t>Over 50 internal chemical and electronic quality control checks, including potential hardware and software errors, and potential test strip errors. The analyzer has been programmed to report an error if these quality checks are not passed. Liquid control solutions and reagent test strip available.</t>
  </si>
  <si>
    <t>Analyzer is factory-calibrated. Lot-specific calibration for tests</t>
  </si>
  <si>
    <t>18–28°C</t>
  </si>
  <si>
    <t>4 months</t>
  </si>
  <si>
    <t>4.0–13.0% / 20–120 mmol/mol</t>
  </si>
  <si>
    <t>Should not be used to replace glucose testing in persons with or suspected of having type 1 diabetes, who are pregnant, or a paediatric patient. Should not be used to diagnose diabetes in a range of cases (see package insert). Also not suitable for patients with high blood loss volume, disease affecting erythrocyte cell survival, RF factor</t>
  </si>
  <si>
    <t>EDTA may cause negative bias. High levels of Haemoglobin F, Haemoglobin S, Haemoglobin C, or other haemoglobin variants may cause interference</t>
  </si>
  <si>
    <t>Blu-Dock available separately</t>
  </si>
  <si>
    <t>18–25°C</t>
  </si>
  <si>
    <t>&lt;80%</t>
  </si>
  <si>
    <t>Yes</t>
  </si>
  <si>
    <t>https://www.ptsdiagnostics.com/a1cnow-plus-system/</t>
  </si>
  <si>
    <t>LumiraDx</t>
  </si>
  <si>
    <t>The LumiraDx HbA1c test is an in vitro diagnostic test for the quantitative determination of hemoglobin A1c in human capillary and venous whole blood samples</t>
  </si>
  <si>
    <t xml:space="preserve">Capillary fingerstick or venous whole blood </t>
  </si>
  <si>
    <t>15 μL</t>
  </si>
  <si>
    <t>&lt;5 min</t>
  </si>
  <si>
    <t xml:space="preserve">Insert test strip, collect sample, prepare sample </t>
  </si>
  <si>
    <t>Apply sample on the strip and run the analyzer</t>
  </si>
  <si>
    <t xml:space="preserve">Analyzer: HbA1c test, User manual, adapter. Test: Test strips, product inserts, lysis devices, RFID tag </t>
  </si>
  <si>
    <t>2-30°C</t>
  </si>
  <si>
    <t>&lt;2.50%</t>
  </si>
  <si>
    <t>Ceragem Medisys Inc</t>
  </si>
  <si>
    <t xml:space="preserve">178 x 195 x 75 </t>
  </si>
  <si>
    <t xml:space="preserve">The LabonaCheck™ A1c is intended for the quantitative measurement of glycated hemoglobin and  is intended for multiple patient, professional use. </t>
  </si>
  <si>
    <t>5 µl</t>
  </si>
  <si>
    <t>&lt;3 min</t>
  </si>
  <si>
    <t xml:space="preserve">Equilibrate reagents to room temperature, collect blood sample </t>
  </si>
  <si>
    <t xml:space="preserve">Insert the cartridge into the analyzer and touch analyze button </t>
  </si>
  <si>
    <t>Analyzer, adapter,printer paper, calibration plate, user manual</t>
  </si>
  <si>
    <t xml:space="preserve"> Only auto-disabling, single use lancing devices should be used with this system</t>
  </si>
  <si>
    <t>2.8-3.8%</t>
  </si>
  <si>
    <t>15–35°C</t>
  </si>
  <si>
    <t xml:space="preserve">300 tests </t>
  </si>
  <si>
    <t>Abbott</t>
  </si>
  <si>
    <t>Conformité Européenne - In Vitro Diagnostic (CE-IVD), U.S Food and Drug Administration (FDA), Japan</t>
  </si>
  <si>
    <t>International Organization for Standardization (ISO) 13485, The Clinical Laboratory Improvement Amendments (CLIA) - waived, International Federation of Clinical Chemistry and Laboratory Medicine (IFCC), National Glycohemoglobin Standardization Program (NGSP)</t>
  </si>
  <si>
    <t>200 x 186 x 328</t>
  </si>
  <si>
    <t xml:space="preserve">Lipid panel, C-Reactive Protein , Albumin Creatine Ratio </t>
  </si>
  <si>
    <t xml:space="preserve">Afnion HbA1c is an vitro diagnostic test for quantitative determination of glycated hemoglobin (hemoglobin A1c, HbA1c) in human whole blood. </t>
  </si>
  <si>
    <t>Professional near patient testing and laboratory</t>
  </si>
  <si>
    <t>1.5 μL</t>
  </si>
  <si>
    <t>Collect the sample with the integrated sampling device. Place the sampling device back in the test cartridge</t>
  </si>
  <si>
    <t>Place the test cartridge in the analyzer and close the lid</t>
  </si>
  <si>
    <t>Analyzer:Afinion 2 analyzer, power cable, power supply, 24 VDC, user manual. Test:test cartridges packaged separately in foil pouches with a desiccant bag, package insert.</t>
  </si>
  <si>
    <t>Standard blood collection equipment</t>
  </si>
  <si>
    <t>Afinion HbA1c control is a two point control kit with data</t>
  </si>
  <si>
    <t>Each lot of an Afinion Test includes calibration data stored in the barcode label. The calibration data is read by the integrated camera and used for calculating results.</t>
  </si>
  <si>
    <t>15-25 °C</t>
  </si>
  <si>
    <t>3 months</t>
  </si>
  <si>
    <t>Any cause of shortened erythrocyte life span results in a decrease in HbA1c values. Caution should be used  when interpreting results from patients with hemolytic anemia or other hemolytic diseases, hmozygous sickle cell trait, pregnancy, blood loss, polycythemia, iron deficiency etc. This test should not be used to diagnose: diabetes during pregnancy, patients with elevated fetal hemoglobin (Hb&gt;10%), patients with a hemoglobinopathy, patients that received a blood transfusion within the past three weeks, patients that have received cancer chemotherapy within the past 3 weeks.</t>
  </si>
  <si>
    <t>No significant interference (&lt;7%) was observed up to the following concentrations: Bilirubin conjugated 600 mg/L, Bilirubin unconjugated 600mg/L, Lipids 10g/LRheumatoid factor 780000 IU/L, Total protein 150g/L, Glycated albumin 7.7g/L</t>
  </si>
  <si>
    <t>Ethernet cable connection to LMIS systems using POCT1-A, HL7, ASTM 1381-85 or ASTM 1394-97 protocols</t>
  </si>
  <si>
    <t>18-30 °C</t>
  </si>
  <si>
    <t>Seperate AC to DC power supply. Double installed</t>
  </si>
  <si>
    <t>Standard LCD colour display with back light and integrated touch panel</t>
  </si>
  <si>
    <t>500 patient tests/500 controls</t>
  </si>
  <si>
    <t xml:space="preserve">https://www.globalpointofcare.abbott/ww/en/product-details/afinion2-analyzer.html                                                                                                                                                                                                                                                    </t>
  </si>
  <si>
    <t>Available (Local suppliers)</t>
  </si>
  <si>
    <t>Reader Pen</t>
  </si>
  <si>
    <t>200 x 170 x 70</t>
  </si>
  <si>
    <t xml:space="preserve">C-Reactive Protein </t>
  </si>
  <si>
    <t>NycoCard HbA1c is an in vitro diagnostic medical device for quantitative determination of glycated hemoglobin  in human whole blood. For monitoring of long-term metabolic control in persons with diabetes mellitus</t>
  </si>
  <si>
    <t>For professional near-patient testing and laboratory use</t>
  </si>
  <si>
    <t>Equilibrate reagents to room temperature. Add sample to reagent tube, mix well and leave the tube for 2–3 minutes. Then add sample to test device and apply washing solution.</t>
  </si>
  <si>
    <t>Measurement is not automated, it is performed with a pen device</t>
  </si>
  <si>
    <t>Analyzer: Nyocard Reader II, battery charger, batteries (rechargeable), calibration devices 10 units, pen tips, pen rings, pad. Test: test device, reagent, washing solution</t>
  </si>
  <si>
    <t>Capillary tube or pipette (5 μL) for sample collection, Capillary tube holder, Pipette (25 μL) and pipette tips</t>
  </si>
  <si>
    <t>NycoCard HbA1c Control consists of two liquids, each 1,5 ml, Level I+II (normal/abnormal)</t>
  </si>
  <si>
    <t>Black and white calibration of reader pen. Lot-specific calibration not required</t>
  </si>
  <si>
    <t>Hemolysed samples with plasma Hb &gt;3 g/100 mL will interfere with the test system</t>
  </si>
  <si>
    <t>&lt;5%</t>
  </si>
  <si>
    <t>The following hemoglobin (Hb) variants have been analysed and found not to affect the NycoCard HbA1c Test result: HbAC, HbAE, HbAF, HbAJ, HbAS and Hb Yamagata. Carbamylated and pre-glycated hemoglobin does not affect the test. Elevated amounts of glucose, bilirubin, lipids and fructosamine were added to blood samples with normal and elevated HbA1c values. No interference was obtained</t>
  </si>
  <si>
    <t xml:space="preserve">0–90% </t>
  </si>
  <si>
    <t>Rechargeable NiMH batteries only. Size AA 1.2 V. Recharge 8–18 hours</t>
  </si>
  <si>
    <t>LCD screen 2×16 Characters</t>
  </si>
  <si>
    <t>2 KB</t>
  </si>
  <si>
    <t>https://www.globalpointofcare.abbott/ww/en/product-details/nycocard-reader.html</t>
  </si>
  <si>
    <t>Boditech Med</t>
  </si>
  <si>
    <t xml:space="preserve">320 x 204 x 180 </t>
  </si>
  <si>
    <t>Cardiac, Cancer, Hormone, Infection and others (Vit D, Ferritin, Anti-CCP plus)</t>
  </si>
  <si>
    <t>AFIAS-1 is a single channel lateral flow immunoassay platform. The disposable cartridge includes all the reagents necessary for the test.</t>
  </si>
  <si>
    <t>3-15min</t>
  </si>
  <si>
    <t>NGSP (%)</t>
  </si>
  <si>
    <t>Collect the blood using a C-tip and place it on the Cartridge</t>
  </si>
  <si>
    <t>Insert the cartridge into the analyzer and press start</t>
  </si>
  <si>
    <t>Analyzer: Afias-1, AC adaptor and power cable, thermal printer paper roll, Afias OS SD card, operation manual, system check cartridge set</t>
  </si>
  <si>
    <t>Two controls, QC 1 and QC2</t>
  </si>
  <si>
    <t>Two calibrators</t>
  </si>
  <si>
    <t xml:space="preserve">-20 -50 ℃ </t>
  </si>
  <si>
    <t>RS 232/USB port/Ethernet/SD card slot LIS/HIS compatible</t>
  </si>
  <si>
    <t>10- 70%</t>
  </si>
  <si>
    <t>5,000 patient results, 5000 QC results, 500 ID Chips, 100 User IDs</t>
  </si>
  <si>
    <t>https://www.boditech.co.kr/en/support/id/246</t>
  </si>
  <si>
    <t>276 x 220 x 91</t>
  </si>
  <si>
    <t>Cardiac, Cancer, Hormone, Infection, Autoimmune, Organ function</t>
  </si>
  <si>
    <t>ichroma HbA1c is a fluorescence Immunoassay (FIA) that is useful as an aid in the management and monitoring of the long- term glycemic status in patients with diabetes mellitus. For in vitro diagnostic use only</t>
  </si>
  <si>
    <t>Professional use in hospital, laboratories, physicians’ clinics</t>
  </si>
  <si>
    <t>Equilibrate reagents to room temperature. Transfer 100 μL of hemolysis buffer into detection buffer tube. Draw 5 μL of fingertip blood or tube blood using capillary tube. Put capillary tube into the detection buffer tube. Mix the sample thoroughly. Take out the cartridge from the i-Chamber (incubator) slot. Pipette out 75 μL of the sample mixture and load it into a sample well in the test cartridge. Insert the cartridge into i-Chamber slot. Leave for 12 minutes</t>
  </si>
  <si>
    <t>Insert the cartridge into the analyzer</t>
  </si>
  <si>
    <t>Analyzer: ichroma II, AC adaptor and power cable, operation manual, system check cartridge set. Test: cartridge, detection buffer tubes, haemolysis buffer vial, ID chip</t>
  </si>
  <si>
    <t>Standard blood collection equipment. 5 μL Capillary tube. i-Chamber (incubator)</t>
  </si>
  <si>
    <t>Boditech HbA1c Control consists of two liquids (level 1 and level 2). Carefully reconstitute each vial of lyophilized liquid with exactly 0.5 mL of sterilized distilled water.</t>
  </si>
  <si>
    <t>4–30°C</t>
  </si>
  <si>
    <t>20 months</t>
  </si>
  <si>
    <t>The test may yield false positive result(s) due to the cross reactions and/or non-specific adhesion of certain sample components to the capture/detector antibodies. The test may yield false negative result. Other factors may interfere with the test and cause erroneous results, such as technical/procedural errors, degradation of the test components/reagents or presence of interfering substances in the test samples.</t>
  </si>
  <si>
    <t>No interference from significant variants and interfering substances</t>
  </si>
  <si>
    <t>USB 4 ports, LAN port, USB OTG port</t>
  </si>
  <si>
    <t>DC 12V/5A, AC/DC Adaptor, (AA battery) DC 1.5V X 4ea. Input 100-240V ~ 50/60Hz, 1.8A. Output DC 12V/5A</t>
  </si>
  <si>
    <t>LCD colour touch screen 153mm x 91mm</t>
  </si>
  <si>
    <t>1000 patient tests 500 system check results 1000 controls</t>
  </si>
  <si>
    <t>Nova Biomedical</t>
  </si>
  <si>
    <t xml:space="preserve">Immunoassay  </t>
  </si>
  <si>
    <t>457 x 356 x 381</t>
  </si>
  <si>
    <t>Lipid panel,C-Reactive Protein , Blood glucose, Blood creatine, Urine creatinine, Urine albumin</t>
  </si>
  <si>
    <t>Quantitative measurement of HbA1c in whole blood</t>
  </si>
  <si>
    <t>&lt;7 min</t>
  </si>
  <si>
    <t>If refrigerated, equilibrate to room temperature before use. Scan cartridge. Perform fingerstick. Remove capillary sampler from cartridge. Touch sampler to blood. Replace capillary sampler in cartridge</t>
  </si>
  <si>
    <t>Insert cartridge into analyzer and press "analyze"</t>
  </si>
  <si>
    <t>Analyzer: Allegro, power cable, companion StatStrip meter Tests: cartridge with capiallary sampler</t>
  </si>
  <si>
    <t>4.0–14.0% / 20–130 mmol/mol</t>
  </si>
  <si>
    <t>Diluted samples cannot be analyzed. Do not analyze hemolyzed coagulated blood samples</t>
  </si>
  <si>
    <t>&lt;4.5%</t>
  </si>
  <si>
    <t>No significant interference (</t>
  </si>
  <si>
    <t>USB port, ASTM Protocol, via serial RS232 TCP/IP, POCT1-A2, HL7</t>
  </si>
  <si>
    <t>90–264 V AC, 50/60 Hz</t>
  </si>
  <si>
    <t>Stores and presents trend data for patients over the last 9 visits</t>
  </si>
  <si>
    <t>https://novabiomedical.com/allegro/index.php</t>
  </si>
  <si>
    <t>Roche Diagnostics</t>
  </si>
  <si>
    <t>Disc Catridge</t>
  </si>
  <si>
    <t>320 x 300 x 150</t>
  </si>
  <si>
    <t xml:space="preserve">Lipid panel, C-Reactive Protein  </t>
  </si>
  <si>
    <t>The cobas b 101 is an in vitro diagnostic test system designed to quantitatively determine the % hemoglobin A1c (DCCT/NGSP) and mmol/mol hemoglobin A1c (IFCC) in human capillary and venous whole blood</t>
  </si>
  <si>
    <t>2 µL</t>
  </si>
  <si>
    <t>Equilibrate to room temperature prior to use. Sample is applied directly from the fingerstick or via a pipette when testing venous whole blood. The operator applies the sample to the disc.</t>
  </si>
  <si>
    <t>Insert the disc into the analyzer</t>
  </si>
  <si>
    <t>cobas HbA1c Test, power adapter, power cable, optical
check disc. Tests: individually-wrapped test discs</t>
  </si>
  <si>
    <t>Optical check disc,  General laboratory equipment (e.g., sample transfer pipette for venous
blood or alcohol wipes for the fingerstick), Timer</t>
  </si>
  <si>
    <t>Built-in quality controls Level 1 and level 2 liquid controls. An optical check is also available</t>
  </si>
  <si>
    <t>Analyzer is factory-calibrated Calibration information is read from each reagent disc</t>
  </si>
  <si>
    <t>2-30 °C</t>
  </si>
  <si>
    <t xml:space="preserve">22 months </t>
  </si>
  <si>
    <t>This test should not be used for analyzing samples from patients with conditions causing shortened red blood cell survival, such as hemolytic diseases, homozygous sickle cell trait, pregnancy and significant acute or chronic blood loss. Glycated HbF is not detected by this assay as it does not contain the glycated beta- chain that characterize HbA1c, However, HbF levels (&gt;10%) may result in lower than expected %HbA1c values (DCCT/NGSP).</t>
  </si>
  <si>
    <t>Heterozygous presence of the most common hemoglobin variants (HbS, HbC, HbD, HbE, and Hb2) does not interfere. Testing results indicate that there is no significant interference for HbS (≤41%), HbC (36%), HbD (42%), HbE (27%) and HbA2 (6.2%)</t>
  </si>
  <si>
    <t>USB or direct to PC</t>
  </si>
  <si>
    <t xml:space="preserve">10-85% </t>
  </si>
  <si>
    <t>100 V to 240 V AC (+/-10%), 50/60 Hz</t>
  </si>
  <si>
    <t>Integrated touchscreen</t>
  </si>
  <si>
    <t>5000 patient tests. 500 controls</t>
  </si>
  <si>
    <t>https://diagnostics.roche.com/global/en/products/instruments/cobas-b-101-ins-2892.html</t>
  </si>
  <si>
    <t xml:space="preserve">Alare Technology </t>
  </si>
  <si>
    <t>The Clinical Laboratory Improvement Amendments (CLIA) - waived, International Federation of Clinical Chemistry and Laboratory Medicine (IFCC), National Glycohemoglobin Standardization Program (NGSP)</t>
  </si>
  <si>
    <t xml:space="preserve">320 x 170 x 170 </t>
  </si>
  <si>
    <t xml:space="preserve">Lipid panel,C-Reactive Protein , Albumin Creatine Ratio  </t>
  </si>
  <si>
    <t xml:space="preserve">The Alere Afinion™ AS100 Analyzer is a compact, rapid, multi-assay analyzer that provides valuable near patient testing at the point-of-care. </t>
  </si>
  <si>
    <t xml:space="preserve">Collect the sample using appropriate device </t>
  </si>
  <si>
    <t>Analyzer, adapter,user manual</t>
  </si>
  <si>
    <r>
      <t>The device cannot analyze </t>
    </r>
    <r>
      <rPr>
        <sz val="10"/>
        <color theme="1"/>
        <rFont val="Segoe UI"/>
        <family val="2"/>
      </rPr>
      <t>hemolyzed or coagulated samples</t>
    </r>
    <r>
      <rPr>
        <sz val="10"/>
        <color theme="1"/>
        <rFont val="Segoe UI"/>
        <family val="2"/>
      </rPr>
      <t>. If such samples are tested, the analyzer will display an information code and no result will be obtained.</t>
    </r>
  </si>
  <si>
    <r>
      <t>It can handle HbF concentrations up to </t>
    </r>
    <r>
      <rPr>
        <sz val="10"/>
        <color theme="1"/>
        <rFont val="Segoe UI"/>
        <family val="2"/>
      </rPr>
      <t>10.4%</t>
    </r>
    <r>
      <rPr>
        <sz val="10"/>
        <color theme="1"/>
        <rFont val="Segoe UI"/>
        <family val="2"/>
      </rPr>
      <t> without significant interference, higher concentrations may lead to negative interference in the results</t>
    </r>
  </si>
  <si>
    <t xml:space="preserve">10–90% </t>
  </si>
  <si>
    <t xml:space="preserve">1000 patient results </t>
  </si>
  <si>
    <t>Siemens Healthineers</t>
  </si>
  <si>
    <t>287 x 277 x 254</t>
  </si>
  <si>
    <t xml:space="preserve">Albumin Creatine Ratio </t>
  </si>
  <si>
    <t>The DCA Vantage HbA1c assay provides a convenient, quantitative method for measuring the percent concentration of hemoglobin A1c in blood and recommended for monitoring the long-term care of persons with diabetes</t>
  </si>
  <si>
    <t xml:space="preserve"> </t>
  </si>
  <si>
    <t>Equilibrate to room temperature prior to use. Obtain sample using capillary holder device. Add capillary holder device to test cartridge. Scan cartridge bar code. Load and pull foil tab</t>
  </si>
  <si>
    <t>Testing begins when compartment door is closed</t>
  </si>
  <si>
    <t>Analyzer: DCA Vantage, cleaning kit, optical test cartridge, power cord, air filter replacement kit, spare fuses, quick reference guides, documentation CD, paper roll, self adhesive label stock. Tests: test cartridges, sample capillary holders, calibration card</t>
  </si>
  <si>
    <t>Lancing devices, gloves, gauze, bandages, sharps bin, alcohol wipes</t>
  </si>
  <si>
    <t>DCA Controls Kit contains: vials of A1c Normal control, vials of A1c Abnormal control, vial of reconstitution fluid, eye-dropper caps, control card with normal and abnormal values (double_x0002_sided), instructions for use</t>
  </si>
  <si>
    <t>Factory-calibrated. Lot-specific calibration</t>
  </si>
  <si>
    <t>2.5–14.0% / 4–130 mmol/mol</t>
  </si>
  <si>
    <t>The DCA HbA1c assay gives accurate and precise results over a range of total hemoglobin of 7–24 g/dL. Patients with severe anemias may have hemoglobin concentrations lower than 7 g/dL, and patients with polycythemia may have hemoglobin concentrations above 24 g/dL. Conditions such as hemolytic anemia, polycythemia, homozygous HbS, and HbC, can result in decreased life span of the red blood cells, which causes HbA1c results to be lower than expected.</t>
  </si>
  <si>
    <t>At levels of hemoglobin F less than 10%, the DCA system accurately indicates the patient’s glycemic control. However, at very high levels of hemoglobin F (&gt; 10%), the amount of HbA1c is lower than expected. Common HbA1c interferents have been tested. None has been found to have significant effects.</t>
  </si>
  <si>
    <t>Via USB flash drive to PC or direct to LIS/HIS or data manager</t>
  </si>
  <si>
    <t>5–40°C</t>
  </si>
  <si>
    <t>15–90%</t>
  </si>
  <si>
    <t>Color touch screen with 1/4 VGA resolution</t>
  </si>
  <si>
    <t>4000 tests</t>
  </si>
  <si>
    <t xml:space="preserve">https://www.siemens-healthineers.com/en-in/diabetes/diabetes/dca-vantage-analyzer </t>
  </si>
  <si>
    <t>158.8 x 152.4 x  221.0(HxWxD)</t>
  </si>
  <si>
    <t>Atellica DCA Analyzer is compact, portable, and fully customizable</t>
  </si>
  <si>
    <t>No pretreatment or pipetting required</t>
  </si>
  <si>
    <t>Take a blood sample and directly dispense it to the HbA1c cartridge. Insert the cartridge into the analyzer and run the test</t>
  </si>
  <si>
    <t xml:space="preserve">Analyzer, self-contained immunoassay cartridges, User manual, adaptor, power cables </t>
  </si>
  <si>
    <t>None required. Calibration data is embedded on a bar code on each cartridge</t>
  </si>
  <si>
    <t>60 days</t>
  </si>
  <si>
    <t>No clinically significant interferences from common hemoglobin variants for HbA1c measurements. Atellica DCA HbA1c test is not affected by hemolyzed samples and can help reduce preanalytical errors</t>
  </si>
  <si>
    <t>USB Type C port for patient data export</t>
  </si>
  <si>
    <t>Data can be entered via the removable handheld color touchscreen, integrated 1D/2D bar-code scanner, or optional external handheld bar-code scanner</t>
  </si>
  <si>
    <t>10,000 tests</t>
  </si>
  <si>
    <t>https://www.siemens-healthineers.com/en-th/diabetes/diabetes/atellica-dca-analyzer</t>
  </si>
  <si>
    <t>Available (International suppliers)</t>
  </si>
  <si>
    <t>Getein Biotech Inc.</t>
  </si>
  <si>
    <t>261 x 241 x 115 (DxWxH)</t>
  </si>
  <si>
    <t>Cardiac marker, Renal function, Inflammation, Hormones, Bone Metabolism</t>
  </si>
  <si>
    <t>Getein1100 Immunofluorescence Quantitative Analyzer is an advanced on-site diagnostic analyzer, intended to deliver accurate testing results in minutes just from 3-4 drops of human specimens.</t>
  </si>
  <si>
    <t xml:space="preserve">Collect the blood sample  </t>
  </si>
  <si>
    <t xml:space="preserve">Sample transfer, Test card insert, click start icon, Result show and print </t>
  </si>
  <si>
    <t>Analyzer: Getein 1100 instrument, Power adapter, data cable, user manual, printing paper. Test kit: 25 individually packed testing cards in a sealed pouch with desiccant, product specifications, and one SD card, sample diluent, capillary pipet</t>
  </si>
  <si>
    <t>Lancet, alcohol wipes</t>
  </si>
  <si>
    <t xml:space="preserve">RFID card calibration </t>
  </si>
  <si>
    <t>4- 30°C</t>
  </si>
  <si>
    <t>PC/LIS/HIS</t>
  </si>
  <si>
    <t>100 - 240V～, 50/60Hz, 60VA</t>
  </si>
  <si>
    <t xml:space="preserve">10000 data </t>
  </si>
  <si>
    <t>https://www.getein.com/getein-1100-immunofluorescence-quantitative-analyzer_p24.html</t>
  </si>
  <si>
    <t>Hipro</t>
  </si>
  <si>
    <t>International Organization for Standardization (ISO) 13485</t>
  </si>
  <si>
    <t>172 × 80 × 56</t>
  </si>
  <si>
    <t>≤0.22</t>
  </si>
  <si>
    <t>Thyroid, Inflammatory, Cancer, Coagulation  C-Reactive Protein, Fertility, Tumor, Hormones, CVD</t>
  </si>
  <si>
    <t>Hipro Palm Reader is an immunofluorescence analyzer designed for point-of-care testing </t>
  </si>
  <si>
    <t>2.5 min</t>
  </si>
  <si>
    <t>Mix sample and buffer, add to the sample well of the cassette</t>
  </si>
  <si>
    <t xml:space="preserve">Insert the cassette into the analyzer, result will be dispalyed </t>
  </si>
  <si>
    <t>Palm F analyzer, Operating manual of the analyzer and reagent, Test cassette, Buffer, Pipette, and Timer.</t>
  </si>
  <si>
    <t>USB,Bluetooth</t>
  </si>
  <si>
    <t>10–30°C</t>
  </si>
  <si>
    <t>≤ 1.5 VA</t>
  </si>
  <si>
    <t>https://www.hipro.us/uploads/file/palm-reader-immunoassay-analyzer-brochure.pdf</t>
  </si>
  <si>
    <t>GETEIN 1160 IMMUNOFLUORESCENES QUANTITATIVE ANALYSER</t>
  </si>
  <si>
    <t>299 × 276 × 152 (W × D × H)</t>
  </si>
  <si>
    <t xml:space="preserve">Renal Function, Cardiac markers, Infectious diseases, Thyroid function, Inflammation, Reproduction, Specific Protein and Rheumatism </t>
  </si>
  <si>
    <t>The Getein1160 Immunofluorescence Quantitative Analyzer is used for the detection and quantification of various biomarkers in biological samples.</t>
  </si>
  <si>
    <t>10 ~ 200 μL depending on the assay</t>
  </si>
  <si>
    <t>3-10 min</t>
  </si>
  <si>
    <t>Insert the test cartridge into the analyzer</t>
  </si>
  <si>
    <t>Analyzer, test cards, USB, power supply, user manual. Test kit:Sealed cartridge with 24/48 Getein HbA1c test cards, User manual</t>
  </si>
  <si>
    <t>Standard blood collection equipment, sample diluent, box with pipette tips, Mixing plate</t>
  </si>
  <si>
    <t xml:space="preserve">Factory calibrated </t>
  </si>
  <si>
    <t>(-40 to +55℃)</t>
  </si>
  <si>
    <t xml:space="preserve">The analyzer is intended solely for in vitro diagnostic analysis of human whole blood, plasma, serum, capillary blood, and urine samples. It should not be used for any other purposes and users must be trained on the operations and safety precautions </t>
  </si>
  <si>
    <t>&lt;2%</t>
  </si>
  <si>
    <t xml:space="preserve">USB  </t>
  </si>
  <si>
    <t>LED touch screen</t>
  </si>
  <si>
    <t>i-SENS</t>
  </si>
  <si>
    <t>290 x 250 x 130</t>
  </si>
  <si>
    <t>The A1Care Analyzer is a point-of-care (POC) in Vitro diagnostic (IVD) device for the measurement of HbA1c (%, mmol/mol) in whole blood samples</t>
  </si>
  <si>
    <t>2.5 µl</t>
  </si>
  <si>
    <t>4 min 20 sec</t>
  </si>
  <si>
    <t>20 min warm up for cartridges if stored in the fridge. The sample collection device is in the cartridge. Remove it. Collect blood from finger</t>
  </si>
  <si>
    <t>Insert the test cartridge into the analyzer. Press the sample collector into the cartridge</t>
  </si>
  <si>
    <t>Analyzer: A1Care analyzer, optical check cartridge, quick guide, user manual, power cord. Tests: cartridge with sample collector</t>
  </si>
  <si>
    <t>A1Care HbA1c Control Kit consists of tqo liquids: level 1 (normal) and level 2 (abnormal)</t>
  </si>
  <si>
    <t>1–30°C</t>
  </si>
  <si>
    <t>Total haemoglobin must be within 7–24 g/dL, very high levels of haemoglobin F (&gt;10%), haemolytic anaemia, polycythaemia, homozygous HbS and HbS will cause lower than expected HbA1c</t>
  </si>
  <si>
    <t>A range of substances tested</t>
  </si>
  <si>
    <t>printer or via USB device, LAN port for internet cable connectivity</t>
  </si>
  <si>
    <t>10–32°C</t>
  </si>
  <si>
    <t>AC mains supply (Power Input 100–240VAC 50/60Hz, 100VA</t>
  </si>
  <si>
    <t>5000 patient tests 5000 controls</t>
  </si>
  <si>
    <t>https://i-sens.com/point-of-care-testing/</t>
  </si>
  <si>
    <t>Sinocare</t>
  </si>
  <si>
    <t>308.6 x 445.0 x 293.0</t>
  </si>
  <si>
    <t>&lt;15</t>
  </si>
  <si>
    <t>creatinine, glucose, lipid, C-reactive protein, hemoglobin, cystatin C, HbA1c, total bilirubin, urea, Lactate Dehydrogenase tests</t>
  </si>
  <si>
    <t>The iCare-2100 is an innovative portable and automatic multi-function analyzer with accuracy comparable to laboratory results.</t>
  </si>
  <si>
    <t xml:space="preserve">3 min </t>
  </si>
  <si>
    <t>Equilibrate the reagent cartridges to room temperature</t>
  </si>
  <si>
    <t xml:space="preserve">Insert the reagent cartridge into the analyzer, Insert the sample to the cartridge and press start button </t>
  </si>
  <si>
    <t>Analyzer, User manual Test kit: Reagent cartridge, Quality control materials, disposable tips, and package insert.</t>
  </si>
  <si>
    <t>-20~55℃</t>
  </si>
  <si>
    <t>WiFi, RS232, RJ45, USB</t>
  </si>
  <si>
    <t>100 - 240V, Rated power :160 W, Frequency: 50/60 V</t>
  </si>
  <si>
    <t>9.7 inch touch screen</t>
  </si>
  <si>
    <t>80000 test results, 10000 QC results</t>
  </si>
  <si>
    <t>iCARE-2100 - Sinocare</t>
  </si>
  <si>
    <t xml:space="preserve">Lifotronic </t>
  </si>
  <si>
    <t>International Organization for Standardization (ISO) 13485 , International Federation of Clinical Chemistry and Laboratory Medicine (IFCC), National Glycohemoglobin Standardization Program (NGSP)</t>
  </si>
  <si>
    <t>270 x 200 x 100</t>
  </si>
  <si>
    <t xml:space="preserve">CVDs, Renal function, Thyroid,  COVID-19 IgG , Coagulation, Infection </t>
  </si>
  <si>
    <t>FA-160 is an immunofluorescence-based diagnostic system to measure cardiac diseases, infectious diseases and other major life-style related diseases through testing concentration of various analytes in blood samples.</t>
  </si>
  <si>
    <t>Whole blood, serum, plasma</t>
  </si>
  <si>
    <t>3 - 15 mins / test</t>
  </si>
  <si>
    <t>No sample pre-treatment required</t>
  </si>
  <si>
    <t>Insert the test strip into the incubation channel, after incubation put the test strip into the test channel, samples tested and results printed</t>
  </si>
  <si>
    <t>Analyzer, Adapter, Test cartridge, ID chip, User manual, sample diluent</t>
  </si>
  <si>
    <t>4.0–16.0% / 20–151 mmol/mol IFCC  for HbA1c</t>
  </si>
  <si>
    <t>≤ 15 %</t>
  </si>
  <si>
    <t>USB , RS -232, LIS Compatible</t>
  </si>
  <si>
    <t>AC 100V-240V, 50/60Hz, ≤ 50VA</t>
  </si>
  <si>
    <t>TFT True Color LCD Touch Screen</t>
  </si>
  <si>
    <t>1000 tests results</t>
  </si>
  <si>
    <t>https://fybreeds.com/userfiles/files/FA-160%C2%A0.pdf</t>
  </si>
  <si>
    <t>Wondfo</t>
  </si>
  <si>
    <t>Conformité Européenne - In Vitro Diagnostic (CE-IVD), National Medical Products Administration (NMPA)</t>
  </si>
  <si>
    <t>270 x 238 x 146</t>
  </si>
  <si>
    <t>CVDs, Infection,  Tumor,  Renal Injury,  Hormone,  Fertility , Coagulation</t>
  </si>
  <si>
    <t>Finecare™ FIA Meter Plus is a fluorescence immunochromatographic analysing system which helps diagnose conditions such as infection, diabetes, cardiovascular diseases, renal injury and cancers, etc.</t>
  </si>
  <si>
    <t>3-15 mins</t>
  </si>
  <si>
    <t xml:space="preserve">If stored in a refrigerator the buffer should be balanced to room temperature, Mix the sample with buffer, Apply sample onto the catridge </t>
  </si>
  <si>
    <t xml:space="preserve">Insert the ID chip into the analyzer, Insert the cartridge and press test </t>
  </si>
  <si>
    <t>Analyzer: Finecare FIA meter plus, List of contents, Packing list, Power cord, Quick operation instruction for use, printer paper, power adapter, CD disk, Ethernet cable, Operational manual  Test kit: Reagent packaging, ID chip, Pipette tips, cassette, buffer, blood sampler quick operation instruction for use.</t>
  </si>
  <si>
    <t xml:space="preserve">Self calibration </t>
  </si>
  <si>
    <t>4.0 –14.5% / 20 - 135 mmol/mol</t>
  </si>
  <si>
    <t>Inner temperature control</t>
  </si>
  <si>
    <t>8" LED touch screen</t>
  </si>
  <si>
    <t>30000 tests results</t>
  </si>
  <si>
    <t>https://pdf.medicalexpo.com/pdf/mira-lab/finecare-fia-meter-plus/118462-184626-_3.html</t>
  </si>
  <si>
    <t>Janacare</t>
  </si>
  <si>
    <t>Conformité Européenne - In Vitro Diagnostic (CE-IVD), Health Sciences Authority (HAS)</t>
  </si>
  <si>
    <t>79.8 x 36.5 x 16.0</t>
  </si>
  <si>
    <t>Lipids, Blood glucose and Hemoglobin</t>
  </si>
  <si>
    <t>The Aina Blood Monitoring System is a high quality and versatile multi-parameter in-vitro diagnostic platform</t>
  </si>
  <si>
    <t xml:space="preserve">Collect the blood sample using the capillary holder, drop the collected sample into the blue reagent vial, shake well </t>
  </si>
  <si>
    <t>Insert the test strip into the device, add the sample onto the strip, add wash buffer, and insert the strip back to the analyzer</t>
  </si>
  <si>
    <t xml:space="preserve">Aina device, Battery, Instruction booklet, Pipette, Reagent, wash buffer, Test strips, and capillary holder. </t>
  </si>
  <si>
    <t xml:space="preserve">Auto calibration </t>
  </si>
  <si>
    <t>18–40°C for HbA1c</t>
  </si>
  <si>
    <t>https://www.siemens-healthineers.com/en-in/point-of-care-testing/aina</t>
  </si>
  <si>
    <t>Diazyme</t>
  </si>
  <si>
    <t>Korean Good Manufacturing Practice (KGMP), International Federation of Clinical Chemistry and Laboratory Medicine (IFCC), National Glycohemoglobin Standardization Program (NGSP)</t>
  </si>
  <si>
    <t xml:space="preserve">240 x 145 x 140 </t>
  </si>
  <si>
    <t>3.4 kg 7.7 lbs</t>
  </si>
  <si>
    <t>Homocysteine, C-Reactive Protein  (c-reactive protein), hs-C-Reactive Protein  (high sensitive c-reactive protein), Lipoprotein(a), HbA1c, Microalbumin, D-Dimer, Ferritin, INR (PT), Cystine C (GFR), Troponin</t>
  </si>
  <si>
    <t>For the quantitative determination of stable HbA1c in human capillary and venous whole blood samples.</t>
  </si>
  <si>
    <t>20 µL</t>
  </si>
  <si>
    <t>8 min</t>
  </si>
  <si>
    <t>Equilibrate reagents to room temperature. Collect sample</t>
  </si>
  <si>
    <t>Insert the RFID card into the analyzer, Insert the cartridge, press start</t>
  </si>
  <si>
    <t>The linearity of the assay is up to 12% HbA1c. Samples with values above 12% should not be diluted and retested. The assay is formulated for use with human whole blood samples. Total hemoglobin in the sample should be in the range:
9-21 g/dL</t>
  </si>
  <si>
    <t>5 V DC</t>
  </si>
  <si>
    <t>6” touch color LCD</t>
  </si>
  <si>
    <t xml:space="preserve">https://weldonbiotech.com/wp-content/uploads/2018/05/SMART-700-340-Flyer.pdf </t>
  </si>
  <si>
    <t>DxGen</t>
  </si>
  <si>
    <t>14.5 x 21.0 x 24.0 (WXLXH)</t>
  </si>
  <si>
    <t xml:space="preserve">TSH, IgG, IgM, C-Reactive Protein , Hemoglobin, D-dimer, hs-C-Reactive Protein , microalbumin, HbA1c, glycated albumin </t>
  </si>
  <si>
    <t>Epithod 616 is semi-automatic analyzer, quantitatively measures diabetes, infectious and inflammation markers on an easy-to-use platform.</t>
  </si>
  <si>
    <t>&lt; 3 min</t>
  </si>
  <si>
    <t>Equilibrate reagents to room temperature.collect the blood,drop R1 and W1</t>
  </si>
  <si>
    <t xml:space="preserve"> Insert the cartridge into the analyzer</t>
  </si>
  <si>
    <t>Analyzer, User manual, adapter, supervisor card, printer paper roll, pipetting guide</t>
  </si>
  <si>
    <t xml:space="preserve">Smart NFC card </t>
  </si>
  <si>
    <t>3.0–15.0% / 9–140 mmol/mol</t>
  </si>
  <si>
    <t>USB, Bluetooth, Wi-Fi</t>
  </si>
  <si>
    <t>15-75%</t>
  </si>
  <si>
    <t>DC 12V adpater</t>
  </si>
  <si>
    <t>20000 result memory</t>
  </si>
  <si>
    <t>https://www.dxgenco.com/ep616</t>
  </si>
  <si>
    <t xml:space="preserve">Genrui Biotech </t>
  </si>
  <si>
    <t>Conformité Européenne - In Vitro Diagnostic (CE-IVD), U.S Food and Drug Administration (FDA), National Medical Products Administration (NMPA)</t>
  </si>
  <si>
    <t>National Glycohemoglobin Standardization Program (NGSP)</t>
  </si>
  <si>
    <t>300 x 270 x 160 (LxWxH)</t>
  </si>
  <si>
    <t xml:space="preserve">Renal function, CVDs, Thyroid, Inflammatory, Infection, Coagulation </t>
  </si>
  <si>
    <t>FA50 is a simple, innovative and accurate POCT Immunofluorescence analyzer </t>
  </si>
  <si>
    <t>clinic, doctor's office,ICU and CCU</t>
  </si>
  <si>
    <t xml:space="preserve">10 µL </t>
  </si>
  <si>
    <t>10 min</t>
  </si>
  <si>
    <t>Equilibrate the reagents to room temperature, Mix the blood sample with diluent</t>
  </si>
  <si>
    <t>Magnetic card calibration, pipette sample, Insert cassette</t>
  </si>
  <si>
    <t xml:space="preserve">Analyzer, user manual Test kit: Cassette, Magnetic card, Diluent </t>
  </si>
  <si>
    <t>Magnetic card auto-calibration</t>
  </si>
  <si>
    <t>10- 30°C</t>
  </si>
  <si>
    <t>2 USB ports, LIS</t>
  </si>
  <si>
    <t>50000 results</t>
  </si>
  <si>
    <t>https://www.genrui-bio.com/products/quantitative-immunoassay-analyzer-fa50.html</t>
  </si>
  <si>
    <t>250 x 250 x 120 (LxWxH)</t>
  </si>
  <si>
    <t xml:space="preserve">Renal function, CVDs, Infection, Inflammatory, Coagulation </t>
  </si>
  <si>
    <t>FIA8000 Quantitative Immunoassay Analyzer is used to measure a variety of biomarkers in human whole blood, serum, plasma or other specimens.</t>
  </si>
  <si>
    <t>Collect blood samples</t>
  </si>
  <si>
    <t xml:space="preserve">Insert the QC card, Insert the cassette with the sample into the analyzer, and click measure </t>
  </si>
  <si>
    <t xml:space="preserve">Analyzer, User manual, adapter, data cable, QC card, printing paper. Test kit: Cassette, Diluent.  </t>
  </si>
  <si>
    <t xml:space="preserve">Quick quality control with QC card </t>
  </si>
  <si>
    <t>PC, LIS, HIS connectivity</t>
  </si>
  <si>
    <t>10–85%</t>
  </si>
  <si>
    <t>5.6 inch touch screen</t>
  </si>
  <si>
    <t>10000 results</t>
  </si>
  <si>
    <t xml:space="preserve">https://www.getein.com/fia-8000-quantitative-lmmunoassay-analyzer_p31.html </t>
  </si>
  <si>
    <t>International Organization for Standardization (ISO) 13485, Free Sale Certificates (FSC), International Federation of Clinical Chemistry and Laboratory Medicine (IFCC), National Glycohemoglobin Standardization Program (NGSP)</t>
  </si>
  <si>
    <t>220 x 230 x 98 (DxWxH)</t>
  </si>
  <si>
    <t xml:space="preserve">Renal function, Cardiac Marker, Coagulation marker , Inflammation, Thyroid, Reproductive/Fertility </t>
  </si>
  <si>
    <t>FIA 8600 analyzer for the processing and analysis of Getein test kits including markers for cardiovascular diseases, renal diseases, inflammation, etc.</t>
  </si>
  <si>
    <t>collect blood samples</t>
  </si>
  <si>
    <t>Add sample, Insert test kit, click 'Measure ' icon, Results printed automatically</t>
  </si>
  <si>
    <t xml:space="preserve">Analyzer, User manual, adapter, data cable, QC card, printing paper, Accessory bag. Test kit: 25 individually packed testing cards, product specifications, one SD card and other consumables. </t>
  </si>
  <si>
    <t>USB, LAN</t>
  </si>
  <si>
    <t>https://www.getein.com/uploadfile/attachment/48c00e3934dd037f05e7f92c4369b778.pdf</t>
  </si>
  <si>
    <t>APOTI</t>
  </si>
  <si>
    <t>240 x 130 x 280</t>
  </si>
  <si>
    <t>&lt;2.5</t>
  </si>
  <si>
    <t>Inflammation, Tumor, Nephrology, Cardiovascular, Coagulation, Endocrinology, Autoimmunity, Infectious disease</t>
  </si>
  <si>
    <t>APOTI TM Fluorescence Immunoassay  is an analyzer based on the detection of fluorescence emitted during an immunoassay with antigen-antibody interaction. </t>
  </si>
  <si>
    <t>Whole blood</t>
  </si>
  <si>
    <t>Collect drop of blood on the test strip</t>
  </si>
  <si>
    <t>Apply the test strip to the Apoti POCT analyzer after incubation and press test button</t>
  </si>
  <si>
    <t>Analyzer, User manual, Adapter, power cable  Test kit: 25 devices/tests</t>
  </si>
  <si>
    <t>ID cards</t>
  </si>
  <si>
    <t xml:space="preserve"> -10- 40° C</t>
  </si>
  <si>
    <t xml:space="preserve">4.0 –14.5% </t>
  </si>
  <si>
    <r>
      <t> </t>
    </r>
    <r>
      <rPr>
        <sz val="11"/>
        <rFont val="Century Gothic"/>
        <family val="2"/>
        <scheme val="minor"/>
      </rPr>
      <t xml:space="preserve">RS232, USB (4 ports) and LAN interfaces </t>
    </r>
  </si>
  <si>
    <t>4-30 °C</t>
  </si>
  <si>
    <t>DC 12V</t>
  </si>
  <si>
    <t>https://ivydiagnostics.com/wp-content/uploads/2021/07/Apoti-Sell-Sheet-b-002.pdf</t>
  </si>
  <si>
    <t xml:space="preserve">Microprofit Biotech </t>
  </si>
  <si>
    <t>International Organization for Standardization (ISO) 13485, National Glycohemoglobin Standardization Program (NGSP)</t>
  </si>
  <si>
    <t>200×346×144 mm (WDH)</t>
  </si>
  <si>
    <t>Thyroid, Fertility, Covid-19, Tumor marker,Gestrointestinal, Gestational, Bone metablism, Anemia, Inflammation, Cardiovascular, Autoimmune</t>
  </si>
  <si>
    <t>Fluorecare is a quantitative analyzer, an advanced on-site medical device intended to deliver accurate testing results in minutes from 2-3 drops of human specimens.</t>
  </si>
  <si>
    <t>10- 70 µl</t>
  </si>
  <si>
    <t>The sample should be equilibrated to room temperature. Mix the sample well before running the test. Add the sample to the diluent and mix well</t>
  </si>
  <si>
    <t>Apply sample to the test device, Insert into the analyzer and click "test"</t>
  </si>
  <si>
    <t>Test kit: Instruction manual, ID card, diluent, foil pouch, test card</t>
  </si>
  <si>
    <t>Automatic calibration through chip</t>
  </si>
  <si>
    <t>15-25°C</t>
  </si>
  <si>
    <t xml:space="preserve">4.0 –16% </t>
  </si>
  <si>
    <t>&lt;10%</t>
  </si>
  <si>
    <t xml:space="preserve">4 USB ports, 1 LAN port, 1 LIS port and 1 PC connection port </t>
  </si>
  <si>
    <t>http://www.microprofit-bio.com/products/Analyzer.html</t>
  </si>
  <si>
    <t>Allcare</t>
  </si>
  <si>
    <t>Conformité Européenne - In Vitro Diagnostic (CE-IVD), Central Drugs Standard Control Organization (CDSCO)</t>
  </si>
  <si>
    <t>Immunoassay (Time resolve immuno-fluorescence)</t>
  </si>
  <si>
    <t xml:space="preserve">260 x230x 140 </t>
  </si>
  <si>
    <t>Bone metabolism, Cardiac, Thyroid, Inflammation, Fertility hormones, kidney marker</t>
  </si>
  <si>
    <t>ALLCARE AIFA 100 is a POCT for quick and reliable diagnosis of biomarkers such as Cardiac, Cancer, Hormone (Thyroid &amp; Fertility), Diabetes, Bone Metabolism and Infection diseases</t>
  </si>
  <si>
    <t>4 - 150 µl</t>
  </si>
  <si>
    <t>20min</t>
  </si>
  <si>
    <t>Analyzer, Analyzer power cable, Analyzer power adapter, Incubator, Incubator power cable, Incubator adaptor, Paper roll, Analyzer manual. Test: Buffer, IC card for calibration, cassette</t>
  </si>
  <si>
    <t>IC card</t>
  </si>
  <si>
    <t>2.0- 16%</t>
  </si>
  <si>
    <t>USB &amp; ethernet port for LIS/HIS</t>
  </si>
  <si>
    <t xml:space="preserve">https://www.alliedbiotech.co.in/allcare-aifa-100-ifa-analyzer.php </t>
  </si>
  <si>
    <t>Green Cross MEDIS Corp</t>
  </si>
  <si>
    <t>178 x 195 x 75</t>
  </si>
  <si>
    <t>CERA-STAT 2000 analyzer is designed to measure the CERA_x0002_STAT HbA1c Test Kit for In Vitro Diagnostic Use.</t>
  </si>
  <si>
    <t>Equilibrate reagents to room temperature. Collect the sample using the capillary tube. Put the capillary tube into the R1/ Reagent tube and mix throughly. Stand the tube for 2 minutes for the incubation. Apply 25 μL of the reaction mixture to the membrane of the cartridge. After 10 seconds, apply 25 μL of the R2/Reagent to the membrane of the cartridge.</t>
  </si>
  <si>
    <t>Open the tray and put the cartridge in the tray</t>
  </si>
  <si>
    <t>Analyzer: Cera Stat 2000, battery, power adaptor, printer paper roll, calibration plate, user manual. Test: tubes of Reagent 1, cartridges and bottle of Reagent</t>
  </si>
  <si>
    <t>Standard blood collection equipment, pipette, pipette tips</t>
  </si>
  <si>
    <t>CERA STAT 2000 Control kit contains two ready-to-use liquid controls</t>
  </si>
  <si>
    <t>&lt;3.1%</t>
  </si>
  <si>
    <t>An Hb-concentration lower than 10g/dL or higher than 20g/ Dl can cause inaccurate test results. The test results are not affected by albumin, ascorbic acid, biliorubin, flucose, lipid.</t>
  </si>
  <si>
    <t>USB, RS-232 interface</t>
  </si>
  <si>
    <t>AC mains power no battery</t>
  </si>
  <si>
    <t>300 tests</t>
  </si>
  <si>
    <t>http://www.greencrossms.com/eng/product/productView.do?code1=006&amp;code2=006001&amp;productSeq=106</t>
  </si>
  <si>
    <t>Please select…</t>
  </si>
  <si>
    <t>-</t>
  </si>
  <si>
    <t>Choose country..</t>
  </si>
  <si>
    <t>Sl.no</t>
  </si>
  <si>
    <t> </t>
  </si>
  <si>
    <t>Technical</t>
  </si>
  <si>
    <t>Procedure</t>
  </si>
  <si>
    <t>Performance</t>
  </si>
  <si>
    <t>Analyzer</t>
  </si>
  <si>
    <t>Availability</t>
  </si>
  <si>
    <t>Supplier</t>
  </si>
  <si>
    <t>Srilanka</t>
  </si>
  <si>
    <t>International Federation of Clinical Chemistry and Laboratory Medicine(mmol/mol)/National Glycohemoglobin Standardization Program/DCCT (%) values</t>
  </si>
  <si>
    <t xml:space="preserve">http://www.greencrossms.com/eng/product/productView.do?code1=006&amp;code2=006001&amp;productSeq=106 </t>
  </si>
  <si>
    <t xml:space="preserve"> info@bimedis.com CERAGEM CERA-STAT™ 2000 for Sale - Bimedis - India, Ph.no: +14079944619</t>
  </si>
  <si>
    <t>https://www.omnia-health.com/product/cera-stat-2000-hba1c</t>
  </si>
  <si>
    <t xml:space="preserve">https://www.osanghc.com/en/products_en/glycated-hemoglobin/# </t>
  </si>
  <si>
    <t xml:space="preserve"> Blood Glucose Meter Supplier,Digital Blood Glucose Meter Exporter,India (kannuimpex.com), Kannu Impex India Pvt. Ltd. 514, Majestic Tower, G 17, New Delhi, Delhi 110018 · &lt; 1 km
098101 13243</t>
  </si>
  <si>
    <t xml:space="preserve">https://www.osanghc.com/en/customer_en/archive/?mod=document&amp;uid=117 </t>
  </si>
  <si>
    <t>https://emedis.id/product/hba1c-analyzer-clover-a1c-self/        The Mansion Office
Tower Fontana, Unit BF-26K1
Jakarta Utara, 14410</t>
  </si>
  <si>
    <t xml:space="preserve">https://www.diasys.in/poct/table-top-devices/qdx-a1c-advance/ </t>
  </si>
  <si>
    <t>1.Aruna Diagnostics - https://www.indiamart.com/aruna-diagnostics/?pid=2851579934030&amp;c_id=630&amp;mid=123832&amp;pn=Diasys%20QDX%20A1c%20Advance%20%20Analyzer%20Equipment 2. RN Chemiceutics Private Limited 
https://www.indiamart.com/rn-chemiceutics-pune/?pid=2852639682048&amp;c_id=&amp;mid=&amp;pn=Diasys%20Qdx%20A1C%20Advance%20Analyzer</t>
  </si>
  <si>
    <t xml:space="preserve">https://www.arkray.co.in/english/products/pocketchem.html </t>
  </si>
  <si>
    <t>Available (Suppliers and Manufacturers)</t>
  </si>
  <si>
    <t xml:space="preserve">1. "Sri Ram Diagnostics"Krishnapuram Colony, Madurai, Tamil Nadu. Ph.no: 08048953035 , 2.  https://www.hospitalstore.com/compact-glycohemoglobin-aNolyzer-pocketchem-a1c/  3.   https://www.colmed.in/arkray-compact-glycohemoglobin-aNolyzer-pocketchem-a1c.html.html </t>
  </si>
  <si>
    <t>ARKRAY, Inc. Address: Mega Plaza, 12th Floor, Jl. HR. Rasuna Said Kav. C-3, Jakarta 12920, INDONESIA. Ph.no: +62-21-5212120</t>
  </si>
  <si>
    <t>https://www.hemocue.com/en/</t>
  </si>
  <si>
    <t>Available (Local suppliers )</t>
  </si>
  <si>
    <t>1.https://www.hemocue.in/, Unit No. 214 &amp; 215, DLF Towers, Shivaji Marg
Najafgarh Road, Moti Nagar | New Delhi-110015, India
Phone: +91 11 61304400  2.https://www.saaskin.in/ "Saaskin corporation private limited" Kilpauk, Chennai, Tamil Nadu. Ph.no: 08047632085</t>
  </si>
  <si>
    <t>https://www.hemocue.in/en-in/health-areas/diabetes/launch-of-hemocue-hba1c/thailand-distributor, Thailand.  Location. Distributor TECHNO MEDICAL PUBLIC COMPANY LIMITED 29 Soi Ladprao 92. Wangthonglang Bangkok 10310. Thailand. Phone. 662-933-6112.</t>
  </si>
  <si>
    <t>https://www.human.de/about-human/human-worldwide</t>
  </si>
  <si>
    <t xml:space="preserve"> https://www.indiamart.com/proddetail/hba1c-aNolyzer-9079685062.html , "Cadena Medical Systems", Panchasayar, Kolkata, West Bengal. Ph.no: 08048606477</t>
  </si>
  <si>
    <t>For haemoglobin concentrations outside the range of 6.5 g/dL to 20.4 g/dL (4.0 mmol/l to 12.7 mmol/l) or for HbA1c values outside the range of 4.0 % to 15.0 % DCCT (20 mmol/mol to 140 mmol/mol International Federation of Clinical Chemistry and Laboratory Medicine), a result will not be reported and an error message will be displayed.</t>
  </si>
  <si>
    <t>https://www.ekfdiagnostics.com/point-of-care/diabetes/quo-lab/</t>
  </si>
  <si>
    <t>1.Rapid Card and Biochemistry ANolyzer Reagents Manufacturer | Raj Biosis Private Limited, Jaipur     2.https://www.ozonebio.com/india, Plot no. 109, HSIIDC, Sector - 31, Faridabad- 121003, Haryana, India
Tel : +91-8929640356, +91-129-4286600, 4286609, 4286618
Email : mail@ozonebio.com  3. https://www.hospitalstore.com/quo-lab-hba1c-aNolyzer/</t>
  </si>
  <si>
    <t>For haemoglobin concentrations outside the range of 6.5 g/dL to 20.4 g/dL (4.0 mmol/l to 12.7 mmol/l) or for HbA1c values outside the range of 4.0 % to 15.0 % DCCT (20 mmol/mol to 140 mmol/mol International Federation of Clinical Chemistry and Laboratory Medicine), a result will not be reported and an error message will be displayed. Consult the Quo-Test Analyzer System User Manual for further details.</t>
  </si>
  <si>
    <t xml:space="preserve">https://www.ekfdiagnostics.com/point-of-care/diabetes/quo-test/ </t>
  </si>
  <si>
    <t xml:space="preserve">Rapid Card and Biochemistry Analyzer Reagents Manufacturer | Raj Biosis Private Limited, Jaipur     </t>
  </si>
  <si>
    <t xml:space="preserve">https://www.ptsdiagnostics.com/a1cnow-plus-system/ </t>
  </si>
  <si>
    <t>Available (Local Suppliers)</t>
  </si>
  <si>
    <t xml:space="preserve">https://www.indiamart.com/proddetail/a1c-now-plus-diabetes-diagnose-system-14855653588.html          PTS Diagnostics India Private Limited  https://ptsdiagnosticsindia.com/product/a1cnow/     </t>
  </si>
  <si>
    <t>PT. Mitra Asa Pratama, MT Haryono St No.01/06, RW.6, Bidara Cina, Jatinegara, East Jakarta City, Jakarta 13330, Indonesia</t>
  </si>
  <si>
    <t xml:space="preserve">ProfessioNol Medical Science Co., Ltd. 168/22 Thanon Nak Niwat, Lat Phrao, Bangkok 10230, Thailand </t>
  </si>
  <si>
    <t xml:space="preserve">https://www.lumiradx.com/en-uk/products/hba1c </t>
  </si>
  <si>
    <t>https://www.indiamart.com/nishka-medicaids/search.html?ss=HbA1c+test+LumiraDx "Nishka Medicaids", Ahmedabad Gujarat. Ph.no: 07949087897</t>
  </si>
  <si>
    <t>https://www.biohermes.com/index.php?c=show&amp;id=29</t>
  </si>
  <si>
    <t xml:space="preserve"> HbA1c ANolyzer เครื่องตรวจวิเคราะห์ฮีโมโกลบินเอวันซี (biozen.co.th)  Biozen Co.,Ltd., Biozen	23 Soi Onnuch 62, Onnuch,
Suanluang, Bangkok 10250, Thailand  https://www.biozen.co.th/14717924/hba1c-aNolyzer
</t>
  </si>
  <si>
    <t>https://www.biohermes.com/products/show-26.html</t>
  </si>
  <si>
    <t xml:space="preserve">https://www.biozen.co.th/14717924/hba1c-aNolyzer, Biozen Co.,Ltd. Biozen23 Soi Onnuch 62, Onnuch,Suanluang, Bangkok 10250, Thailand   </t>
  </si>
  <si>
    <t>http://www.gcmedis.com/src/sub231.php?ckattempt=1</t>
  </si>
  <si>
    <t xml:space="preserve">Synapse Service Limited Madanpur Khadar, New Delhi, Delhi
misbah_syed@yahoo.com </t>
  </si>
  <si>
    <t>No interference of HB Variant</t>
  </si>
  <si>
    <t xml:space="preserve">https://accurex.net/product/xpress-a1c-meter-hba1c/?srsltid=AfmBOorz4bh4sntApntucvEy6gvyt12_jBF3AaqI7Se_11ky4ErEvL3Y </t>
  </si>
  <si>
    <t>Buy Xpress A1c Meter (HbA1c ANolyzer) Glycohemoglobin | Accurex https://www.hospitalstore.com/accurex-xpress-a1c-handheld-hba1c-aNolyzer-approved-by-U.S Food and Drug Administration (FDA)-result-in-just-5-minute/, Address: "Medsun Biomedical Technologies pvt ltd". Building no.49, Hasanpur, IP extension, Delhi 110092</t>
  </si>
  <si>
    <t xml:space="preserve">https://www.isotekindo.co.id/product/details/9 </t>
  </si>
  <si>
    <t>1. https://e-katalog.lkpp.go.id/katalog/produk/detail/1374839?lang=id&amp;type=general        2. https://en.indotrading.com/isotekindointertama/alat-cek-hemoglobin-eclipse-a1c-poc-aNolyzer-s54133-p872936.aspx                             PT.  Isotekindo Intertama
Jl. Raya Kebayoran Lama No.309 C, RT.2/RW.1, Grogol Utara, Kec. Kebayoran Lama, Kota Jakarta Selatan, Daerah Khusus Ibukota Jakarta 12210
Jakarta Selatan, DKI Jakarta, Indonesia</t>
  </si>
  <si>
    <t>https://www.hospitalstore.com/sd-bosensor-a1ccare-rt-pcr-machine-price/, Address: "Medsun Biomedical Technologies pvt ltd". Building no.49, Hasanpur, IP extension, Delhi 110092</t>
  </si>
  <si>
    <r>
      <rPr>
        <b/>
        <i/>
        <sz val="11"/>
        <rFont val="Century Gothic"/>
        <family val="2"/>
        <scheme val="minor"/>
      </rPr>
      <t>*Note:</t>
    </r>
    <r>
      <rPr>
        <sz val="11"/>
        <rFont val="Century Gothic"/>
        <family val="2"/>
        <scheme val="minor"/>
      </rPr>
      <t xml:space="preserve"> </t>
    </r>
    <r>
      <rPr>
        <b/>
        <i/>
        <sz val="11"/>
        <rFont val="Century Gothic"/>
        <family val="2"/>
        <scheme val="minor"/>
      </rPr>
      <t xml:space="preserve">NA refers to information not reported or not available </t>
    </r>
  </si>
  <si>
    <t>SRA Approvals</t>
  </si>
  <si>
    <t>Certifications/Traceable</t>
  </si>
  <si>
    <t>Storage temperature</t>
  </si>
  <si>
    <t>1. Surbhi Meditek, Nirmohi Nagar, Jaipur, Rajasthan 2.https://www.ankcares.in/abbott-fully-automatic-afinion-2-analyzer-8379278.html, "Ank cares"Sakar - 5, 103, 1st Floor, Ashram Road, Behind Croma,Ahmedabad - 380001, Gujarat, India
Phone :08045816757 3. Saaskin Corporation Private Limited https://www.saaskin.in/, No : 275 /184, First Floor , Office No: 2 , Golden Enclave Periyar EVR Salai, Poonamallee High Rd, Kilpauk, Chennai, Tamil Nadu 600010</t>
  </si>
  <si>
    <t>"Medquest", Menara Salemba 6th Fl Zone 1, Jl. Salemba Raya No. 5 - 5A, Jakarta Pusat 10440, +62-21 39842961    https://medquest.co.id/products/clinical-chemistry/abbott-afinion-2-analyzer/</t>
  </si>
  <si>
    <t>"Medtech Maldives Pvt.Lt", Ma. Fas Eri 3rd Floor, Ameenee Magu, Male, Male 20205,  +960 330-8663         https://medtechmaldives.com/products/afinion-2-7799</t>
  </si>
  <si>
    <t>https://www.amdmyanmar.com/product/afinion-2/</t>
  </si>
  <si>
    <t>https://www.globalpointofcare.abbott/ww/en/global-sites.html</t>
  </si>
  <si>
    <t>NycoCard HbA1c is an in vitro diagnostic medical device for quantitative determination of glycated hemoglobin (HbA1c) in human whole blood. For monitoring of long-term metabolic control in persons with diabetes mellitus</t>
  </si>
  <si>
    <t>1."Diagnosol Healthtech ", Jhotwara, Jaipur, Rajasthanhttps://www.diagnosolhealthtech.com/  , 2. "Ank Cares Private Ltd", Ashram Road, Ahmedabad, Gujarathttps://www.ankcares.in/contact-us.html</t>
  </si>
  <si>
    <t>Advanced Medical &amp; Diagnostics Trading’s ,
Yangon: 01-571656, 09-7316248         amd@amdmyanmar.com                                                                                                                                                                                                              https://www.amdmyanmar.com/product/afinion-2/</t>
  </si>
  <si>
    <t xml:space="preserve">DIAGNOSTICS
Abbott Laboratories Ltd.,
No.1, Q.House Lumpini
30th Floor South Sathorn Road          
Thungmahamek, Sathorn
Bangkok 10120, Thailand
Telephone: (66 2) 697 2888         https://www.abbott.com/global-locations-contacts/thailand.html    </t>
  </si>
  <si>
    <t>1. https://hospitalstore.in/  2. https://jaindiagnostic.com/   3.https://labx.in/product/afias-1/</t>
  </si>
  <si>
    <t>Healthcare Mandalar Pharmaceuticals and Laboratory Company Limited , https://hmpl.com.mm/en/publication/afias-1  Phone number: 959 797 357 000, +959 797 357 007</t>
  </si>
  <si>
    <t>1. Pulse Science, 28/9 Moo 1 Bangsrimuang, Muang, Nonthaburi 11000, Thailand  Phone: +66-2886-7808,   https://www.pulsescience.co.th/ivf-pulse/afias-series
​</t>
  </si>
  <si>
    <t xml:space="preserve">https://www.boditech.co.kr/en/product/instruments/id/4 </t>
  </si>
  <si>
    <t>1. "Medistore" Suite# F-11, Level# 11 Tropicana Tower, 45 Purana Paltan Dhaka-1000, Bangladesh.
Mobile: +880 1405100400
E-mail:contact@medistorebd.comBuy online i-Chroma II Immunoassay Reader in Bangladesh (medistorebd.com)                      2. Global Medical Engineering(BD),Ltd.  17/2, Topkhana Road (2nd Floor),
Dhaka – 1000, Bangladesh.
Mobile: +8801404003501
Phone:  +8809678020555
E-mail. info@gmebd.comhttps://gmebd.com/product/hormone-analyzer/</t>
  </si>
  <si>
    <t>1.  IChroma II Reader | Kin Diagnostics | Mumbai | Kolkata | Delhi, 122/2, Panchanantala Rd, Tollygunge Karunamoyee, Paschim Putiary, Kolkata, West Bengal 700041     2.  https://quicklab.in/product/i-chroma-ii-immunoassay-analyzer/, No 31 B, Kavery Street, RamNagar South, Madipakkam, Chennai 600091,
Tamil Nadu, India          3.https://cpcdiagnostics.in/product/ichroma-ii/, 4th floor, Westminster, 108, Dr.Radhakrishnan Salai, Mylapore, Chennai - 600004
Tel: +91 87544 68400
Email: info@cpcdiagnostics.in</t>
  </si>
  <si>
    <t>Zoe Pelita Nusantara    Jl. Cikini 2 No. 8b, Menteng.    DKI Jakarta, 10330 ,  (021) 2302118</t>
  </si>
  <si>
    <t>https://hmpl.com.mm/en, No.449(A)4, Moe Ma Kha Street, Bo Cho 2nd Quarter, Bahan Township, Yangon, Yangon, Myanmar, Phone Number
+959 797 357 000</t>
  </si>
  <si>
    <t>Home | Medlab Asia &amp; Asia Health | 16-18 July 2025</t>
  </si>
  <si>
    <t>Biotech Services | country's leading IVD products provider (biotechservices-bd.com)    57/3 &amp; 57/4, 9th floor, ENA Tower Biruttam kazi Nurruzzaman. Road, Sheikh Rasel Square, Lake Circus, Kalabagan, Dhaka-1205</t>
  </si>
  <si>
    <t>Roche Diagnostics India Private Limited, Chakala Road Andheri East, Mumbai, Maharashtra   https://diagnostics.roche.com/global/en/contact-forms/contact-us-support.html</t>
  </si>
  <si>
    <t>e-katalog.lkpp.go.id/katalog.produkctr/getdetailproductcenter?id=1468662</t>
  </si>
  <si>
    <t>Available (Suppliers)</t>
  </si>
  <si>
    <t>https://www.siemens-healthineers.com/en-in/corporate-info, Unit No. 9A, 9th Floor, North Tower, Godrej One,
Pirojshanagar, Eastern Express Highway,
Vikhroli East, Mumbai – 400 079
India
Tel: +91 022-3370 0600</t>
  </si>
  <si>
    <t>Siemens Healthineers Indonesia
Arkadia Office Park, Tower F, Level 18 Pasar Minggu
T.B. Simatupang Kav. 88
Jakarta Raya
Jakarta 12520
Indonesia</t>
  </si>
  <si>
    <t>Siemens Health care limited 
Charn Issara Tower II, 26th Floor 2922/292 New Petchburi Road, Bangkapi, Huaykwang
Bangkok
Thailand
https://www.siemens-healthineers.com/en-th</t>
  </si>
  <si>
    <t xml:space="preserve">https://www.medicalsearch.com.au/siemens-healthineers-diabetes-analysers-atellica-dca-analyzer/p/262529 </t>
  </si>
  <si>
    <t>https://hmpl.com.mm/en   No.449(A)4, Moe Ma Kha Street, Bo Cho 2nd Quarter, Bahan Township, Yangon, Yangon, Myanmar</t>
  </si>
  <si>
    <t>DiaSys India, A-821, S Central Rd, MIDC Industrial Area, Mahape, Navi Mumbai, Maharashtra 400710</t>
  </si>
  <si>
    <t xml:space="preserve">1.https://www.technohealthcare.com.bd/product/37, "Techno Healthcare services" 20 Shahid Minar Road,Fair Niharika,Kallyanpur, Dhaka 1207        2. "Jist Life care"House: 05, (1st, 2nd &amp; 3rd Floor) Road 17/A, Sector: 12, Uttara Model Town, Dhaka-1230     https://jistlifecare.com/product/gp-getein-1100                                                 3. LabPro Bangladesh, 183/A nazir shankarpur,sadar, Jashore. ph.no: +8801721478947   https://labprobd.com/product/gp-getein-1100-immunofluorescence/ </t>
  </si>
  <si>
    <t>1."Diagnosol Healthtech ", Jhotwara, Jaipur, Rajasthanhttps://www.diagnosolhealthtech.com/   2.https://www.cosmic.net.in/product/getein-1100-immunofluorescence-quantitative-analyzer/</t>
  </si>
  <si>
    <t xml:space="preserve">https://www.getein.com/getein-1160-immunofluorescence-quantitative-analyzer_p91.html </t>
  </si>
  <si>
    <t>Biotech International-Leading Medical Equipment supplier in Bangladesh (bio-techbd.com)</t>
  </si>
  <si>
    <t>1. "Global biomedicals", D-758, Jagdamba Nagar, Girdharipura, Near Gurunarayan Temple, Near 200 Feet Bypass Road, Jaipur, Rajasthan 302021.  2. alphalifecare.co.in, 28, East Venugopalapuram, Manjakuppam, Cuddalore, Tamil Nadu, India – 607001.   3.https://www.saaskin.in/  No : 275 /184, First Floor , Office No: 2 , Golden Enclave Periyar EVR Salai, Poonamallee High Rd, Kilpauk, Chennai, Tamil Nadu 600010</t>
  </si>
  <si>
    <t>Allegro® | Nova Biomedical Corporation (omnia-health.com)</t>
  </si>
  <si>
    <t>Available (International Suppliers)</t>
  </si>
  <si>
    <t xml:space="preserve">Future Medix 
Kempapura Bengaluru
https://www.indiamart.com/proddetail/isens-a1care-urine-testing-analyzer-2851741879362.html?mTd=1 </t>
  </si>
  <si>
    <t xml:space="preserve">https://www.omnia-health.com/product/poct-hba1c-analyzer </t>
  </si>
  <si>
    <t>The device cannot analyze hemolyzed or coagulated samples. If such samples are tested, the analyzer will display an information code and no result will be obtained.</t>
  </si>
  <si>
    <t>It can handle HbF concentrations up to 10.4% without significant interference, higher concentrations may lead to negative interference in the results</t>
  </si>
  <si>
    <t>HbA1c Analyzer เครื่องตรวจวิเคราะห์ฮีโมโกลบินเอวันซี (biozen.co.th), Biozen Co.,Ltd.
Biozen	23 Soi Onnuch 62, Onnuch,
Suanluang, Bangkok 10250, Thailand</t>
  </si>
  <si>
    <t>SD BIOSENSOR (HEALTHCARE PVT. Ltd.) Address SCO-34, Sector-15, Part-II, Gurgaon, Haryana - 122001, India, INDIA Tel +91-124-4540908/Toll Free No.
E-mail india@sdbiosensor.com
Website www.sdbiosensor.co.in</t>
  </si>
  <si>
    <t>PT. STANDARD BIOSENSOR INDONESIA Address GD.GL’avenue office tower 21 floor, Unit C, Jalan Raya Pasar Minggu Kav.16. Jakarta Selatan - 12780,  Tel +62-21-8066-7161
E-mail purbayu.mulyanto@sdbiosensor.co.id
Website www.sdbiosensor.co.id</t>
  </si>
  <si>
    <r>
      <t xml:space="preserve">1. Biochemistry Analyzer Reagents and Rapid Card Manufacturer | Raj Biosis Private Limited, Jaipur       2.Ank Cares Pvt Ltd, Sakar - 5, 103, 1st Floor, Ashram Road, Behind Croma,Ahmedabad - 380001, Gujarat, India                                        3. https://ptsdiagnosticsindia.com/product/icare2100/                                                                                                                                                                                                                  </t>
    </r>
    <r>
      <rPr>
        <sz val="11"/>
        <rFont val="Century Gothic"/>
        <family val="2"/>
        <scheme val="minor"/>
      </rPr>
      <t xml:space="preserve">     </t>
    </r>
  </si>
  <si>
    <t>https://www.isotekindo.co.id/product/details/222   Jl. Raya Kebayoran Lama No.309 C Grogol Utara, Kebayoran Lama Jakarta Selatan 12210</t>
  </si>
  <si>
    <t>1. "SuppliMed International" Address: B.No-352, Mahtuji Nagar, behind BLOCK-A, near Moze College, Balewadi, Pune, Maharashtra 411045
Phone: 097622 10484                     2. https://mkp.gem.gov.in/immunoassay-analyzers/immunoassay-analyzer/p-5116877-94654472421-cat.html#variant_id=5116877-94654472421</t>
  </si>
  <si>
    <t xml:space="preserve">https://www.medistorebd.com/product/hipro-palm-reader-poct-analyzer/      "Medistore"   Suite# F-11, Level# 11 Tropicana Tower
45 Purana Paltan Dhaka-1000, Bangladesh.
Mobile: +880 1405100400
E-mail:contact@medistorebd.com                         </t>
  </si>
  <si>
    <t xml:space="preserve">1. Lifotronic- FA-160 Immunofluorescence Analyzer – Health Aid BD      House – 30, Road – 03,
Sector – 05, Uttara Model Town,
Dhaka -1230,Bangladesh
+88 01816-202314   2. https://www.medistorebd.com/product-category/hormone-analyzer/page/2/    "Medistore"   Suite# F-11, Level# 11 Tropicana Tower
45 Purana Paltan Dhaka-1000, Bangladesh.
Mobile: +880 1405100400
E-mail:contact@medistorebd.com                         </t>
  </si>
  <si>
    <t xml:space="preserve">https://www.immunoshop.com/, Belapur, Navi Mumbai, Thane, Maharashtra
</t>
  </si>
  <si>
    <t>https://e-katalog.lkpp.go.id/katalog/produk/detail/76999143</t>
  </si>
  <si>
    <t>https://www.medistorebd.com/product/fine-care-analyzer/, Suite# F-11, Level# 11 Tropicana Tower
45 Purana Paltan Dhaka-1000, Bangladesh.
Mobile: +880 1405100400
E-mail:contact@medistorebd.com</t>
  </si>
  <si>
    <t>1. Star Biomed Private limited, New Rohtak Road, Karol Bagh New Delhi - 110005, India     2. https://www.hospitalstore.com/wondfo-finecare-fia-meter-plus-immunoassay-analyzer/, Medsun Biomedical Technologies pvt.ltd. Building no.49, Hasanpur, IP extension, Delhi 110092, ph.no; 91-98715-08509</t>
  </si>
  <si>
    <t>https://biomedmyanmar.com/products/11/wondfo, Ph.no: +951 – 2301947, + 959 – 4211 68376 , contact@biomedmyanmar.com</t>
  </si>
  <si>
    <t>1. "Vishal Enterprises", Nerul, Navi Mumbai, Thane, Maharashtra                                            2. Laxmi Sagar, Bhubaneswar, Khordha, Odisha  https://www.anandkrishnahospicare.com/  08047645015</t>
  </si>
  <si>
    <t>DKSH (MYANMAR) LIMITED, Phone: +95 1 3565270No.13, Thitsar Road, Yankin Township
Yangon, Myanmar</t>
  </si>
  <si>
    <t xml:space="preserve">North Pathology clinicDelhi                                                                                                                                                                                                                 
 https://www.indiamart.com/proddetail/diazyme-7222329748.html </t>
  </si>
  <si>
    <t>https://www.hospitalstore.com/dxgen-epithod616-hba1c-analyzer-hplc/?srsltid=AfmBOoouKWvlN1YtnVEqXjdD6tQR6E3nFB3NmetMGfhnaEDvrrMoN51F, Medsun Biomedical Technologies pvt.ltd. Building no.49, Hasanpur, IP extension, Delhi 110092, ph.no; 91-98715-08509</t>
  </si>
  <si>
    <t>Geenius Healthcare https://www.indiamart.com/geenius-healthcare/?pid=2853964147712&amp;c_id=567&amp;mid=145262&amp;pn=Genrui%20Biotech%20Fa-50%20Immunoassay%20POC, Uttam Nagar, New Delhi, Delhi
|Call 07949087748</t>
  </si>
  <si>
    <t xml:space="preserve">https://www.genrui-bio.com/live-from-bangkok-genrui-at-medlab-asia--asia-heal.html </t>
  </si>
  <si>
    <t>Global Biomedicals Inc.   https://www.globalbiomedicals.com/ ,  D-758,Jagdamba Nagar, Girdharipura, Near Gurunarayan Tample,near 200 Feet Bypass Rd, Jaipur, Rajasthan 302021.</t>
  </si>
  <si>
    <t>Raj Biosis https://www.rajbiosis.in/, Call +91-998-3333-469, F-1 Plot No. 16 D-Block Tagore Nagar Ajmer Road -302021 Rajathan (). Jaipur, India, 302021. Mail Us @. info@rajbiosis.com.</t>
  </si>
  <si>
    <t xml:space="preserve">Pathshodh Healthcare Private Limited https://pathshodh.com/pathshodh-anuPath-glucose-HbA1c-meter </t>
  </si>
  <si>
    <t xml:space="preserve">SD Biosensor Healthcare Pvt.ltd, Plot No. 63, Udyog Vihar, Phase-IV, Gurugram- 122015 (Haryana), India   https://www.sdbiosensor.co.in/ </t>
  </si>
  <si>
    <t xml:space="preserve">SD Biosensor Healthcare Pvt.ltd,  Plot No. 63, Udyog Vihar, Phase-IV, Gurugram- 122015 (Haryana), India   https://www.sdbiosensor.co.in/ </t>
  </si>
  <si>
    <t>Medistore  https://www.medistorebd.com/ Suite# F-11, Level# 11 Tropicana Tower
45 Purana Paltan Dhaka-1000, Bangladesh.
Mobile: +880 1405100400</t>
  </si>
  <si>
    <t xml:space="preserve">1. "Invitro Diagnostics system", Mohanlalganj, Lucknow, Uttar Pradesh. 08045909313    2. "Diagnosol Healthcare", Jhotwara, Jaipur, Rajasthan                                                             3. "TCM Healthcare Pvt.Ltd.28/2917", Aiswarya, Ernakulam, Kadavanthra, Kochi – 682020, Phone  : +91 6282017736
</t>
  </si>
  <si>
    <t>"S.M. Infrastructure private limited", Tukoganj, Indore, Madhya Pradesh. Ph.no: 08046045615</t>
  </si>
  <si>
    <t>1."Manglam Traders", Triveni Nagar, Lucknow, Uttar Pradesh. Ph.no: 08047627996         2. "Vector Biotek pvt.ltd" , 425, New GIDC, Kabilpore, Navsari - 396424, Gujarat, India. Ph.no: 18002701027. http://www.vectorbiotekindia.com/</t>
  </si>
  <si>
    <t>Type of equipment</t>
  </si>
  <si>
    <t>Product name</t>
  </si>
  <si>
    <t>https://www.globalpointofcare.abbott/ww/en/product-details/afinion2-analyzer.html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</si>
</sst>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entury Gothic"/>
      <family val="2"/>
      <scheme val="minor"/>
    </font>
    <font>
      <b/>
      <sz val="11"/>
      <color theme="1"/>
      <name val="Century Gothic"/>
      <family val="2"/>
      <scheme val="minor"/>
    </font>
    <font>
      <u/>
      <sz val="11"/>
      <color theme="10"/>
      <name val="Century Gothic"/>
      <family val="2"/>
      <scheme val="minor"/>
    </font>
    <font>
      <b/>
      <sz val="11"/>
      <name val="Century Gothic"/>
      <family val="2"/>
      <scheme val="minor"/>
    </font>
    <font>
      <b/>
      <sz val="11"/>
      <color rgb="FF000000"/>
      <name val="Calibri"/>
      <family val="2"/>
    </font>
    <font>
      <sz val="11"/>
      <name val="Century Gothic"/>
      <family val="2"/>
      <scheme val="minor"/>
    </font>
    <font>
      <u/>
      <sz val="11"/>
      <name val="Century Gothic"/>
      <family val="2"/>
      <scheme val="minor"/>
    </font>
    <font>
      <sz val="11"/>
      <color rgb="FF1A1A1A"/>
      <name val="Century Gothic"/>
      <family val="2"/>
      <scheme val="minor"/>
    </font>
    <font>
      <i/>
      <sz val="11"/>
      <name val="Century Gothic"/>
      <family val="2"/>
      <scheme val="minor"/>
    </font>
    <font>
      <sz val="10"/>
      <color theme="1"/>
      <name val="Segoe UI"/>
      <family val="2"/>
    </font>
    <font>
      <sz val="11"/>
      <color rgb="FF000000"/>
      <name val="Century Gothic"/>
      <family val="2"/>
      <scheme val="minor"/>
    </font>
    <font>
      <sz val="8"/>
      <color rgb="FF666666"/>
      <name val="Century Gothic"/>
      <family val="2"/>
      <scheme val="minor"/>
    </font>
    <font>
      <sz val="12"/>
      <color theme="1"/>
      <name val="Aptos"/>
      <family val="2"/>
    </font>
    <font>
      <sz val="12"/>
      <name val="Century Gothic"/>
      <family val="2"/>
      <scheme val="minor"/>
    </font>
    <font>
      <sz val="11"/>
      <color theme="0"/>
      <name val="Century Gothic"/>
      <family val="2"/>
      <scheme val="minor"/>
    </font>
    <font>
      <b/>
      <sz val="12"/>
      <color theme="1"/>
      <name val="Aptos"/>
      <family val="2"/>
    </font>
    <font>
      <b/>
      <sz val="12"/>
      <color theme="1"/>
      <name val="Century Gothic"/>
      <family val="2"/>
      <scheme val="minor"/>
    </font>
    <font>
      <sz val="8"/>
      <color theme="1"/>
      <name val="Century Gothic"/>
      <family val="2"/>
      <scheme val="minor"/>
    </font>
    <font>
      <b/>
      <i/>
      <sz val="11"/>
      <name val="Century Gothic"/>
      <family val="2"/>
      <scheme val="minor"/>
    </font>
    <font>
      <sz val="11"/>
      <color rgb="FF666666"/>
      <name val="Century Gothic"/>
      <family val="2"/>
      <scheme val="minor"/>
    </font>
    <font>
      <b/>
      <sz val="12"/>
      <color rgb="FF1FDB1F"/>
      <name val="Century Gothic"/>
      <family val="2"/>
      <scheme val="minor"/>
    </font>
    <font>
      <b/>
      <sz val="16"/>
      <color rgb="FFFFFF00"/>
      <name val="Century Gothic"/>
      <family val="2"/>
      <scheme val="minor"/>
    </font>
    <font>
      <sz val="11"/>
      <color theme="2"/>
      <name val="Century Gothic"/>
      <family val="2"/>
      <scheme val="minor"/>
    </font>
    <font>
      <b/>
      <sz val="16"/>
      <color theme="1"/>
      <name val="Century Gothic"/>
      <family val="2"/>
      <scheme val="minor"/>
    </font>
    <font>
      <sz val="11"/>
      <color theme="8" tint="0.39997558519241921"/>
      <name val="Century Gothic"/>
      <family val="2"/>
      <scheme val="minor"/>
    </font>
    <font>
      <sz val="8"/>
      <name val="Century Gothic"/>
      <family val="2"/>
      <scheme val="minor"/>
    </font>
    <font>
      <b/>
      <sz val="14"/>
      <color theme="1"/>
      <name val="Century Gothic"/>
      <family val="2"/>
      <scheme val="minor"/>
    </font>
    <font>
      <sz val="6"/>
      <color theme="1"/>
      <name val="Century Gothic"/>
      <family val="2"/>
      <scheme val="minor"/>
    </font>
    <font>
      <sz val="8"/>
      <color theme="0"/>
      <name val="Century Gothic"/>
      <family val="2"/>
      <scheme val="minor"/>
    </font>
    <font>
      <sz val="11"/>
      <name val="Abadi"/>
      <family val="2"/>
    </font>
    <font>
      <sz val="11"/>
      <color theme="1"/>
      <name val="Aptos"/>
      <family val="2"/>
    </font>
    <font>
      <sz val="11"/>
      <color theme="1" tint="4.9989318521683403E-2"/>
      <name val="Century Gothic"/>
      <family val="2"/>
      <scheme val="minor"/>
    </font>
    <font>
      <b/>
      <sz val="12"/>
      <color theme="1" tint="4.9989318521683403E-2"/>
      <name val="Century Gothic"/>
      <family val="2"/>
      <scheme val="minor"/>
    </font>
    <font>
      <b/>
      <sz val="14"/>
      <color theme="0" tint="-4.9989318521683403E-2"/>
      <name val="Century Gothic"/>
      <family val="2"/>
      <scheme val="minor"/>
    </font>
    <font>
      <sz val="6"/>
      <color rgb="FF1FDB1F"/>
      <name val="Century Gothic"/>
      <family val="2"/>
      <scheme val="minor"/>
    </font>
    <font>
      <b/>
      <sz val="14"/>
      <color theme="9" tint="-0.249977111117893"/>
      <name val="Times New Roman"/>
      <family val="1"/>
    </font>
    <font>
      <b/>
      <u/>
      <sz val="14"/>
      <color rgb="FF00B050"/>
      <name val="Century Gothic"/>
      <family val="2"/>
      <scheme val="minor"/>
    </font>
    <font>
      <sz val="8"/>
      <color rgb="FF000000"/>
      <name val="Segoe UI"/>
      <family val="2"/>
    </font>
    <font>
      <b/>
      <sz val="18"/>
      <color rgb="FF000000"/>
      <name val="Century Gothic"/>
      <family val="2"/>
    </font>
  </fonts>
  <fills count="19">
    <fill>
      <patternFill patternType="none"/>
    </fill>
    <fill>
      <patternFill patternType="gray125"/>
    </fill>
    <fill>
      <patternFill patternType="solid">
        <fgColor theme="2" tint="-9.9978637043366805E-2"/>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7"/>
        <bgColor indexed="64"/>
      </patternFill>
    </fill>
    <fill>
      <patternFill patternType="solid">
        <fgColor rgb="FFFFC000"/>
        <bgColor indexed="64"/>
      </patternFill>
    </fill>
    <fill>
      <patternFill patternType="solid">
        <fgColor rgb="FFFFFFFF"/>
        <bgColor rgb="FF000000"/>
      </patternFill>
    </fill>
    <fill>
      <patternFill patternType="solid">
        <fgColor rgb="FFFFFF00"/>
        <bgColor indexed="64"/>
      </patternFill>
    </fill>
    <fill>
      <patternFill patternType="solid">
        <fgColor rgb="FFFFFF00"/>
        <bgColor rgb="FF000000"/>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4.9989318521683403E-2"/>
        <bgColor indexed="64"/>
      </patternFill>
    </fill>
    <fill>
      <gradientFill degree="90">
        <stop position="0">
          <color theme="3" tint="0.40000610370189521"/>
        </stop>
        <stop position="1">
          <color theme="4" tint="0.40000610370189521"/>
        </stop>
      </gradientFill>
    </fill>
    <fill>
      <patternFill patternType="solid">
        <fgColor theme="0" tint="-0.14999847407452621"/>
        <bgColor auto="1"/>
      </patternFill>
    </fill>
    <fill>
      <gradientFill degree="135">
        <stop position="0">
          <color theme="0" tint="-0.49803155613879818"/>
        </stop>
        <stop position="1">
          <color theme="1" tint="5.0965910824915313E-2"/>
        </stop>
      </gradientFill>
    </fill>
  </fills>
  <borders count="3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rgb="FF000000"/>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rgb="FF000000"/>
      </right>
      <top style="thin">
        <color indexed="64"/>
      </top>
      <bottom/>
      <diagonal/>
    </border>
    <border>
      <left style="thin">
        <color rgb="FF000000"/>
      </left>
      <right style="thin">
        <color rgb="FF000000"/>
      </right>
      <top style="thin">
        <color rgb="FF000000"/>
      </top>
      <bottom style="thin">
        <color rgb="FF000000"/>
      </bottom>
      <diagonal/>
    </border>
    <border>
      <left/>
      <right style="thin">
        <color indexed="64"/>
      </right>
      <top/>
      <bottom/>
      <diagonal/>
    </border>
    <border>
      <left style="thin">
        <color indexed="64"/>
      </left>
      <right style="thin">
        <color indexed="64"/>
      </right>
      <top style="thin">
        <color indexed="64"/>
      </top>
      <bottom style="thin">
        <color rgb="FF000000"/>
      </bottom>
      <diagonal/>
    </border>
    <border>
      <left/>
      <right/>
      <top style="thin">
        <color indexed="64"/>
      </top>
      <bottom style="thin">
        <color rgb="FF000000"/>
      </bottom>
      <diagonal/>
    </border>
    <border>
      <left style="thin">
        <color indexed="64"/>
      </left>
      <right/>
      <top style="thin">
        <color indexed="64"/>
      </top>
      <bottom style="thin">
        <color rgb="FF000000"/>
      </bottom>
      <diagonal/>
    </border>
    <border>
      <left style="thin">
        <color indexed="64"/>
      </left>
      <right/>
      <top/>
      <bottom/>
      <diagonal/>
    </border>
    <border>
      <left style="thin">
        <color indexed="64"/>
      </left>
      <right style="thin">
        <color indexed="64"/>
      </right>
      <top/>
      <bottom/>
      <diagonal/>
    </border>
    <border>
      <left/>
      <right style="thin">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diagonal/>
    </border>
    <border>
      <left/>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ck">
        <color theme="0"/>
      </left>
      <right/>
      <top/>
      <bottom/>
      <diagonal/>
    </border>
  </borders>
  <cellStyleXfs count="2">
    <xf numFmtId="0" fontId="0" fillId="0" borderId="0"/>
    <xf numFmtId="0" fontId="2" fillId="0" borderId="0" applyNumberFormat="0" applyFill="0" applyBorder="0" applyAlignment="0" applyProtection="0"/>
  </cellStyleXfs>
  <cellXfs count="229">
    <xf numFmtId="0" fontId="0" fillId="0" borderId="0" xfId="0"/>
    <xf numFmtId="0" fontId="4" fillId="0" borderId="0" xfId="0" applyFont="1"/>
    <xf numFmtId="0" fontId="5" fillId="0" borderId="12" xfId="0" applyFont="1" applyBorder="1" applyAlignment="1">
      <alignment wrapText="1"/>
    </xf>
    <xf numFmtId="0" fontId="5" fillId="0" borderId="12" xfId="0" applyFont="1" applyBorder="1"/>
    <xf numFmtId="0" fontId="6" fillId="0" borderId="12" xfId="1" applyFont="1" applyFill="1" applyBorder="1" applyAlignment="1"/>
    <xf numFmtId="0" fontId="5" fillId="0" borderId="0" xfId="0" applyFont="1"/>
    <xf numFmtId="0" fontId="5" fillId="0" borderId="21" xfId="0" applyFont="1" applyBorder="1" applyAlignment="1">
      <alignment wrapText="1"/>
    </xf>
    <xf numFmtId="0" fontId="0" fillId="0" borderId="4" xfId="0" applyBorder="1"/>
    <xf numFmtId="0" fontId="5" fillId="0" borderId="1" xfId="0" applyFont="1" applyBorder="1" applyAlignment="1">
      <alignment horizontal="left"/>
    </xf>
    <xf numFmtId="0" fontId="5" fillId="0" borderId="1" xfId="0" applyFont="1" applyBorder="1" applyAlignment="1">
      <alignment horizontal="center"/>
    </xf>
    <xf numFmtId="0" fontId="0" fillId="0" borderId="1" xfId="0" applyBorder="1"/>
    <xf numFmtId="0" fontId="3" fillId="5" borderId="6" xfId="0" applyFont="1" applyFill="1" applyBorder="1" applyAlignment="1">
      <alignment horizontal="center"/>
    </xf>
    <xf numFmtId="0" fontId="3" fillId="0" borderId="17" xfId="0" applyFont="1" applyBorder="1" applyAlignment="1">
      <alignment horizontal="left"/>
    </xf>
    <xf numFmtId="0" fontId="5" fillId="0" borderId="12" xfId="0" applyFont="1" applyBorder="1" applyAlignment="1">
      <alignment horizontal="left"/>
    </xf>
    <xf numFmtId="0" fontId="2" fillId="0" borderId="12" xfId="1" applyBorder="1" applyAlignment="1"/>
    <xf numFmtId="0" fontId="5" fillId="0" borderId="24" xfId="0" applyFont="1" applyBorder="1" applyAlignment="1">
      <alignment horizontal="left"/>
    </xf>
    <xf numFmtId="0" fontId="2" fillId="0" borderId="1" xfId="1" applyBorder="1" applyAlignment="1"/>
    <xf numFmtId="0" fontId="3" fillId="0" borderId="1" xfId="0" applyFont="1" applyBorder="1"/>
    <xf numFmtId="0" fontId="3" fillId="0" borderId="13" xfId="0" applyFont="1" applyBorder="1"/>
    <xf numFmtId="0" fontId="3" fillId="0" borderId="14" xfId="0" applyFont="1" applyBorder="1"/>
    <xf numFmtId="0" fontId="3" fillId="0" borderId="17" xfId="0" applyFont="1" applyBorder="1"/>
    <xf numFmtId="0" fontId="3" fillId="0" borderId="18" xfId="0" applyFont="1" applyBorder="1"/>
    <xf numFmtId="0" fontId="3" fillId="0" borderId="0" xfId="0" applyFont="1"/>
    <xf numFmtId="0" fontId="3" fillId="0" borderId="12" xfId="0" applyFont="1" applyBorder="1"/>
    <xf numFmtId="0" fontId="5" fillId="0" borderId="1" xfId="0" applyFont="1" applyBorder="1"/>
    <xf numFmtId="0" fontId="5" fillId="0" borderId="20" xfId="0" applyFont="1" applyBorder="1"/>
    <xf numFmtId="0" fontId="5" fillId="0" borderId="21" xfId="0" applyFont="1" applyBorder="1"/>
    <xf numFmtId="0" fontId="6" fillId="0" borderId="12" xfId="0" applyFont="1" applyBorder="1"/>
    <xf numFmtId="0" fontId="5" fillId="0" borderId="22" xfId="0" applyFont="1" applyBorder="1"/>
    <xf numFmtId="0" fontId="5" fillId="0" borderId="24" xfId="0" applyFont="1" applyBorder="1"/>
    <xf numFmtId="0" fontId="5" fillId="0" borderId="26" xfId="0" applyFont="1" applyBorder="1"/>
    <xf numFmtId="0" fontId="5" fillId="10" borderId="12" xfId="0" applyFont="1" applyFill="1" applyBorder="1"/>
    <xf numFmtId="0" fontId="5" fillId="0" borderId="27" xfId="0" applyFont="1" applyBorder="1"/>
    <xf numFmtId="0" fontId="2" fillId="0" borderId="12" xfId="1" applyFill="1" applyBorder="1" applyAlignment="1"/>
    <xf numFmtId="16" fontId="5" fillId="0" borderId="1" xfId="0" applyNumberFormat="1" applyFont="1" applyBorder="1"/>
    <xf numFmtId="0" fontId="2" fillId="0" borderId="1" xfId="1" applyFill="1" applyBorder="1" applyAlignment="1"/>
    <xf numFmtId="0" fontId="8" fillId="0" borderId="1" xfId="0" applyFont="1" applyBorder="1"/>
    <xf numFmtId="17" fontId="5" fillId="0" borderId="1" xfId="0" applyNumberFormat="1" applyFont="1" applyBorder="1"/>
    <xf numFmtId="0" fontId="5" fillId="10" borderId="1" xfId="0" applyFont="1" applyFill="1" applyBorder="1"/>
    <xf numFmtId="0" fontId="5" fillId="0" borderId="1" xfId="0" applyFont="1" applyBorder="1" applyAlignment="1">
      <alignment vertical="top"/>
    </xf>
    <xf numFmtId="0" fontId="2" fillId="0" borderId="0" xfId="1"/>
    <xf numFmtId="0" fontId="5" fillId="0" borderId="1" xfId="0" applyFont="1" applyBorder="1" applyAlignment="1">
      <alignment horizontal="left" vertical="center"/>
    </xf>
    <xf numFmtId="9" fontId="5" fillId="0" borderId="1" xfId="0" applyNumberFormat="1" applyFont="1" applyBorder="1"/>
    <xf numFmtId="0" fontId="5" fillId="0" borderId="1" xfId="0" applyFont="1" applyBorder="1" applyAlignment="1">
      <alignment vertical="center"/>
    </xf>
    <xf numFmtId="0" fontId="5" fillId="0" borderId="28" xfId="0" applyFont="1" applyBorder="1"/>
    <xf numFmtId="0" fontId="10" fillId="0" borderId="1" xfId="0" applyFont="1" applyBorder="1"/>
    <xf numFmtId="0" fontId="11" fillId="0" borderId="1" xfId="0" applyFont="1" applyBorder="1"/>
    <xf numFmtId="0" fontId="3" fillId="0" borderId="0" xfId="0" applyFont="1" applyAlignment="1">
      <alignment horizontal="center"/>
    </xf>
    <xf numFmtId="0" fontId="5" fillId="11" borderId="1" xfId="0" applyFont="1" applyFill="1" applyBorder="1"/>
    <xf numFmtId="0" fontId="5" fillId="12" borderId="1" xfId="0" applyFont="1" applyFill="1" applyBorder="1"/>
    <xf numFmtId="0" fontId="5" fillId="11" borderId="1" xfId="0" applyFont="1" applyFill="1" applyBorder="1" applyAlignment="1">
      <alignment horizontal="left"/>
    </xf>
    <xf numFmtId="0" fontId="0" fillId="11" borderId="0" xfId="0" applyFill="1"/>
    <xf numFmtId="17" fontId="5" fillId="11" borderId="1" xfId="0" applyNumberFormat="1" applyFont="1" applyFill="1" applyBorder="1"/>
    <xf numFmtId="16" fontId="5" fillId="11" borderId="1" xfId="0" applyNumberFormat="1" applyFont="1" applyFill="1" applyBorder="1"/>
    <xf numFmtId="0" fontId="0" fillId="0" borderId="0" xfId="0" applyProtection="1">
      <protection locked="0"/>
    </xf>
    <xf numFmtId="0" fontId="5" fillId="0" borderId="0" xfId="0" applyFont="1" applyAlignment="1">
      <alignment wrapText="1"/>
    </xf>
    <xf numFmtId="0" fontId="13" fillId="0" borderId="1" xfId="0" applyFont="1" applyBorder="1" applyAlignment="1">
      <alignment wrapText="1"/>
    </xf>
    <xf numFmtId="0" fontId="5" fillId="0" borderId="1" xfId="0" applyFont="1" applyBorder="1" applyAlignment="1">
      <alignment wrapText="1"/>
    </xf>
    <xf numFmtId="0" fontId="2" fillId="0" borderId="1" xfId="1" applyFill="1" applyBorder="1" applyAlignment="1">
      <alignment horizontal="center"/>
    </xf>
    <xf numFmtId="0" fontId="2" fillId="0" borderId="1" xfId="1" applyBorder="1" applyAlignment="1">
      <alignment horizontal="center"/>
    </xf>
    <xf numFmtId="0" fontId="0" fillId="11" borderId="1" xfId="0" applyFill="1" applyBorder="1"/>
    <xf numFmtId="0" fontId="7" fillId="0" borderId="1" xfId="0" applyFont="1" applyBorder="1"/>
    <xf numFmtId="0" fontId="9" fillId="11" borderId="1" xfId="0" applyFont="1" applyFill="1" applyBorder="1"/>
    <xf numFmtId="0" fontId="2" fillId="0" borderId="0" xfId="1" applyFill="1" applyBorder="1"/>
    <xf numFmtId="0" fontId="5" fillId="11" borderId="7" xfId="0" applyFont="1" applyFill="1" applyBorder="1"/>
    <xf numFmtId="0" fontId="5" fillId="0" borderId="7" xfId="0" applyFont="1" applyBorder="1"/>
    <xf numFmtId="0" fontId="12" fillId="0" borderId="8" xfId="0" applyFont="1" applyBorder="1"/>
    <xf numFmtId="0" fontId="3" fillId="0" borderId="30" xfId="0" applyFont="1" applyBorder="1"/>
    <xf numFmtId="0" fontId="3" fillId="0" borderId="29" xfId="0" applyFont="1" applyBorder="1"/>
    <xf numFmtId="0" fontId="3" fillId="0" borderId="29" xfId="0" applyFont="1" applyBorder="1" applyAlignment="1">
      <alignment horizontal="center"/>
    </xf>
    <xf numFmtId="0" fontId="3" fillId="0" borderId="29" xfId="0" applyFont="1" applyBorder="1" applyAlignment="1">
      <alignment horizontal="center" wrapText="1"/>
    </xf>
    <xf numFmtId="0" fontId="3" fillId="8" borderId="29" xfId="0" applyFont="1" applyFill="1" applyBorder="1" applyAlignment="1">
      <alignment horizontal="center"/>
    </xf>
    <xf numFmtId="0" fontId="3" fillId="0" borderId="29" xfId="0" applyFont="1" applyBorder="1" applyAlignment="1">
      <alignment horizontal="left"/>
    </xf>
    <xf numFmtId="0" fontId="3" fillId="8" borderId="29" xfId="0" applyFont="1" applyFill="1" applyBorder="1"/>
    <xf numFmtId="0" fontId="3" fillId="9" borderId="29" xfId="0" applyFont="1" applyFill="1" applyBorder="1"/>
    <xf numFmtId="0" fontId="3" fillId="0" borderId="3" xfId="0" applyFont="1" applyBorder="1" applyAlignment="1">
      <alignment wrapText="1"/>
    </xf>
    <xf numFmtId="0" fontId="5" fillId="11" borderId="2" xfId="0" applyFont="1" applyFill="1" applyBorder="1"/>
    <xf numFmtId="0" fontId="5" fillId="11" borderId="28" xfId="0" applyFont="1" applyFill="1" applyBorder="1"/>
    <xf numFmtId="0" fontId="0" fillId="0" borderId="28" xfId="0" applyBorder="1"/>
    <xf numFmtId="0" fontId="5" fillId="0" borderId="28" xfId="0" applyFont="1" applyBorder="1" applyAlignment="1">
      <alignment wrapText="1"/>
    </xf>
    <xf numFmtId="0" fontId="5" fillId="11" borderId="28" xfId="0" applyFont="1" applyFill="1" applyBorder="1" applyAlignment="1">
      <alignment horizontal="left"/>
    </xf>
    <xf numFmtId="16" fontId="5" fillId="11" borderId="28" xfId="0" applyNumberFormat="1" applyFont="1" applyFill="1" applyBorder="1"/>
    <xf numFmtId="0" fontId="12" fillId="0" borderId="9" xfId="0" applyFont="1" applyBorder="1"/>
    <xf numFmtId="0" fontId="3" fillId="0" borderId="0" xfId="0" applyFont="1" applyAlignment="1">
      <alignment horizontal="left"/>
    </xf>
    <xf numFmtId="0" fontId="15" fillId="13" borderId="1" xfId="0" applyFont="1" applyFill="1" applyBorder="1"/>
    <xf numFmtId="0" fontId="15" fillId="0" borderId="1" xfId="0" applyFont="1" applyBorder="1"/>
    <xf numFmtId="0" fontId="5" fillId="13" borderId="1" xfId="0" applyFont="1" applyFill="1" applyBorder="1"/>
    <xf numFmtId="0" fontId="10" fillId="13" borderId="1" xfId="0" applyFont="1" applyFill="1" applyBorder="1"/>
    <xf numFmtId="0" fontId="16" fillId="0" borderId="0" xfId="0" applyFont="1" applyAlignment="1">
      <alignment horizontal="center" vertical="center"/>
    </xf>
    <xf numFmtId="0" fontId="17" fillId="0" borderId="0" xfId="0" applyFont="1" applyAlignment="1">
      <alignment wrapText="1"/>
    </xf>
    <xf numFmtId="0" fontId="14" fillId="0" borderId="0" xfId="0" applyFont="1"/>
    <xf numFmtId="0" fontId="3" fillId="0" borderId="15" xfId="0" applyFont="1" applyBorder="1" applyAlignment="1">
      <alignment horizontal="center"/>
    </xf>
    <xf numFmtId="0" fontId="3" fillId="0" borderId="16" xfId="0" applyFont="1" applyBorder="1" applyAlignment="1">
      <alignment horizontal="center" wrapText="1"/>
    </xf>
    <xf numFmtId="0" fontId="3" fillId="0" borderId="16" xfId="0" applyFont="1" applyBorder="1" applyAlignment="1">
      <alignment horizontal="center"/>
    </xf>
    <xf numFmtId="0" fontId="3" fillId="0" borderId="22" xfId="0" applyFont="1" applyBorder="1"/>
    <xf numFmtId="16" fontId="5" fillId="0" borderId="22" xfId="0" applyNumberFormat="1" applyFont="1" applyBorder="1"/>
    <xf numFmtId="0" fontId="6" fillId="0" borderId="21" xfId="1" applyFont="1" applyFill="1" applyBorder="1" applyAlignment="1"/>
    <xf numFmtId="0" fontId="2" fillId="0" borderId="0" xfId="1" applyFill="1" applyAlignment="1">
      <alignment wrapText="1"/>
    </xf>
    <xf numFmtId="0" fontId="5" fillId="0" borderId="20" xfId="0" applyFont="1" applyBorder="1" applyAlignment="1">
      <alignment wrapText="1"/>
    </xf>
    <xf numFmtId="0" fontId="5" fillId="0" borderId="12" xfId="0" applyFont="1" applyBorder="1" applyAlignment="1">
      <alignment horizontal="left" wrapText="1"/>
    </xf>
    <xf numFmtId="0" fontId="5" fillId="0" borderId="22" xfId="0" applyFont="1" applyBorder="1" applyAlignment="1">
      <alignment wrapText="1"/>
    </xf>
    <xf numFmtId="0" fontId="0" fillId="0" borderId="0" xfId="0" applyAlignment="1">
      <alignment horizontal="justify" vertical="center" wrapText="1"/>
    </xf>
    <xf numFmtId="0" fontId="0" fillId="0" borderId="0" xfId="0" applyAlignment="1">
      <alignment wrapText="1"/>
    </xf>
    <xf numFmtId="0" fontId="5" fillId="0" borderId="21" xfId="0" applyFont="1" applyBorder="1" applyAlignment="1">
      <alignment horizontal="left"/>
    </xf>
    <xf numFmtId="0" fontId="2" fillId="0" borderId="21" xfId="1" applyBorder="1" applyAlignment="1"/>
    <xf numFmtId="0" fontId="0" fillId="0" borderId="8" xfId="0" applyBorder="1"/>
    <xf numFmtId="0" fontId="5" fillId="0" borderId="23" xfId="0" applyFont="1" applyBorder="1"/>
    <xf numFmtId="0" fontId="3" fillId="0" borderId="1" xfId="0" applyFont="1" applyBorder="1" applyAlignment="1">
      <alignment wrapText="1"/>
    </xf>
    <xf numFmtId="0" fontId="3" fillId="0" borderId="8" xfId="0" applyFont="1" applyBorder="1" applyAlignment="1">
      <alignment horizontal="center" wrapText="1"/>
    </xf>
    <xf numFmtId="0" fontId="3" fillId="0" borderId="1" xfId="0" applyFont="1" applyBorder="1" applyAlignment="1">
      <alignment horizontal="left" wrapText="1"/>
    </xf>
    <xf numFmtId="0" fontId="5" fillId="0" borderId="1" xfId="0" applyFont="1" applyBorder="1" applyAlignment="1">
      <alignment horizontal="left" wrapText="1"/>
    </xf>
    <xf numFmtId="16" fontId="5" fillId="0" borderId="1" xfId="0" applyNumberFormat="1" applyFont="1" applyBorder="1" applyAlignment="1">
      <alignment wrapText="1"/>
    </xf>
    <xf numFmtId="0" fontId="2" fillId="0" borderId="1" xfId="1" applyBorder="1" applyAlignment="1">
      <alignment wrapText="1"/>
    </xf>
    <xf numFmtId="0" fontId="6" fillId="0" borderId="1" xfId="1" applyFont="1" applyFill="1" applyBorder="1" applyAlignment="1">
      <alignment wrapText="1"/>
    </xf>
    <xf numFmtId="0" fontId="2" fillId="0" borderId="1" xfId="1" applyFill="1" applyBorder="1" applyAlignment="1">
      <alignment wrapText="1"/>
    </xf>
    <xf numFmtId="0" fontId="5" fillId="0" borderId="1" xfId="1" applyFont="1" applyFill="1" applyBorder="1" applyAlignment="1">
      <alignment wrapText="1"/>
    </xf>
    <xf numFmtId="0" fontId="7" fillId="0" borderId="0" xfId="0" applyFont="1" applyAlignment="1">
      <alignment wrapText="1"/>
    </xf>
    <xf numFmtId="0" fontId="8" fillId="0" borderId="1" xfId="0" applyFont="1" applyBorder="1" applyAlignment="1">
      <alignment wrapText="1"/>
    </xf>
    <xf numFmtId="0" fontId="5" fillId="0" borderId="18" xfId="0" applyFont="1" applyBorder="1" applyAlignment="1">
      <alignment wrapText="1"/>
    </xf>
    <xf numFmtId="17" fontId="5" fillId="0" borderId="1" xfId="0" applyNumberFormat="1" applyFont="1" applyBorder="1" applyAlignment="1">
      <alignment wrapText="1"/>
    </xf>
    <xf numFmtId="0" fontId="5" fillId="10" borderId="1" xfId="0" applyFont="1" applyFill="1" applyBorder="1" applyAlignment="1">
      <alignment wrapText="1"/>
    </xf>
    <xf numFmtId="0" fontId="5" fillId="0" borderId="1" xfId="0" applyFont="1" applyBorder="1" applyAlignment="1">
      <alignment vertical="top" wrapText="1"/>
    </xf>
    <xf numFmtId="0" fontId="5" fillId="0" borderId="1" xfId="0" applyFont="1" applyBorder="1" applyAlignment="1">
      <alignment horizontal="left" vertical="center" wrapText="1"/>
    </xf>
    <xf numFmtId="0" fontId="6" fillId="0" borderId="1" xfId="1" applyFont="1" applyBorder="1" applyAlignment="1">
      <alignment wrapText="1"/>
    </xf>
    <xf numFmtId="0" fontId="2" fillId="0" borderId="0" xfId="1" applyAlignment="1">
      <alignment wrapText="1"/>
    </xf>
    <xf numFmtId="9" fontId="5" fillId="0" borderId="1" xfId="0" applyNumberFormat="1" applyFont="1" applyBorder="1" applyAlignment="1">
      <alignment horizontal="left" wrapText="1"/>
    </xf>
    <xf numFmtId="0" fontId="5" fillId="0" borderId="8" xfId="0" applyFont="1" applyBorder="1" applyAlignment="1">
      <alignment horizontal="left" vertical="center" wrapText="1"/>
    </xf>
    <xf numFmtId="0" fontId="5" fillId="0" borderId="1" xfId="0" applyFont="1" applyBorder="1" applyAlignment="1">
      <alignment vertical="center" wrapText="1"/>
    </xf>
    <xf numFmtId="0" fontId="5" fillId="0" borderId="28" xfId="0" applyFont="1" applyBorder="1" applyAlignment="1">
      <alignment horizontal="left" wrapText="1"/>
    </xf>
    <xf numFmtId="0" fontId="5" fillId="0" borderId="9" xfId="0" applyFont="1" applyBorder="1" applyAlignment="1">
      <alignment wrapText="1"/>
    </xf>
    <xf numFmtId="0" fontId="10" fillId="0" borderId="1" xfId="0" applyFont="1" applyBorder="1" applyAlignment="1">
      <alignment wrapText="1"/>
    </xf>
    <xf numFmtId="0" fontId="5" fillId="0" borderId="8" xfId="0" applyFont="1" applyBorder="1" applyAlignment="1">
      <alignment wrapText="1"/>
    </xf>
    <xf numFmtId="0" fontId="19" fillId="0" borderId="1" xfId="0" applyFont="1" applyBorder="1" applyAlignment="1">
      <alignment wrapText="1"/>
    </xf>
    <xf numFmtId="0" fontId="0" fillId="0" borderId="1" xfId="0" applyBorder="1" applyAlignment="1">
      <alignment wrapText="1"/>
    </xf>
    <xf numFmtId="0" fontId="5" fillId="0" borderId="29" xfId="0" applyFont="1" applyBorder="1" applyAlignment="1">
      <alignment wrapText="1"/>
    </xf>
    <xf numFmtId="0" fontId="1" fillId="0" borderId="0" xfId="0" applyFont="1" applyAlignment="1">
      <alignment wrapText="1"/>
    </xf>
    <xf numFmtId="0" fontId="20" fillId="0" borderId="0" xfId="0" applyFont="1" applyAlignment="1">
      <alignment horizontal="left" vertical="center" wrapText="1"/>
    </xf>
    <xf numFmtId="0" fontId="21" fillId="0" borderId="0" xfId="0" applyFont="1" applyAlignment="1" applyProtection="1">
      <alignment horizontal="center" vertical="center" wrapText="1"/>
      <protection locked="0"/>
    </xf>
    <xf numFmtId="0" fontId="3" fillId="15" borderId="29" xfId="0" applyFont="1" applyFill="1" applyBorder="1"/>
    <xf numFmtId="0" fontId="3" fillId="15" borderId="1" xfId="0" applyFont="1" applyFill="1" applyBorder="1"/>
    <xf numFmtId="0" fontId="23" fillId="0" borderId="0" xfId="0" applyFont="1" applyAlignment="1" applyProtection="1">
      <alignment horizontal="center" vertical="center" wrapText="1"/>
      <protection locked="0"/>
    </xf>
    <xf numFmtId="0" fontId="27" fillId="0" borderId="0" xfId="0" applyFont="1" applyAlignment="1">
      <alignment wrapText="1"/>
    </xf>
    <xf numFmtId="0" fontId="24" fillId="0" borderId="0" xfId="0" applyFont="1" applyAlignment="1">
      <alignment horizontal="center" vertical="center"/>
    </xf>
    <xf numFmtId="0" fontId="22" fillId="0" borderId="0" xfId="0" applyFont="1"/>
    <xf numFmtId="0" fontId="16" fillId="0" borderId="0" xfId="0" applyFont="1" applyAlignment="1">
      <alignment horizontal="center" vertical="center" wrapText="1"/>
    </xf>
    <xf numFmtId="0" fontId="20" fillId="0" borderId="0" xfId="0" applyFont="1" applyAlignment="1">
      <alignment horizontal="center" vertical="center" wrapText="1"/>
    </xf>
    <xf numFmtId="0" fontId="28" fillId="0" borderId="0" xfId="0" applyFont="1"/>
    <xf numFmtId="0" fontId="29" fillId="11" borderId="1" xfId="0" applyFont="1" applyFill="1" applyBorder="1"/>
    <xf numFmtId="0" fontId="30" fillId="0" borderId="0" xfId="0" applyFont="1" applyAlignment="1">
      <alignment vertical="center"/>
    </xf>
    <xf numFmtId="0" fontId="31" fillId="0" borderId="0" xfId="0" applyFont="1"/>
    <xf numFmtId="0" fontId="32" fillId="0" borderId="0" xfId="0" applyFont="1" applyAlignment="1">
      <alignment horizontal="center" vertical="center" wrapText="1"/>
    </xf>
    <xf numFmtId="0" fontId="0" fillId="16" borderId="0" xfId="0" applyFill="1"/>
    <xf numFmtId="0" fontId="16" fillId="17" borderId="1" xfId="0" applyFont="1" applyFill="1" applyBorder="1" applyAlignment="1">
      <alignment horizontal="center" vertical="center" wrapText="1"/>
    </xf>
    <xf numFmtId="0" fontId="34" fillId="0" borderId="0" xfId="0" applyFont="1" applyAlignment="1">
      <alignment wrapText="1"/>
    </xf>
    <xf numFmtId="0" fontId="35" fillId="0" borderId="0" xfId="0" applyFont="1"/>
    <xf numFmtId="0" fontId="36" fillId="17" borderId="1" xfId="0" applyFont="1" applyFill="1" applyBorder="1" applyAlignment="1" applyProtection="1">
      <alignment horizontal="center" vertical="center" wrapText="1"/>
      <protection locked="0"/>
    </xf>
    <xf numFmtId="0" fontId="33" fillId="18" borderId="0" xfId="0" applyFont="1" applyFill="1" applyAlignment="1" applyProtection="1">
      <alignment horizontal="center" vertical="center"/>
      <protection locked="0"/>
    </xf>
    <xf numFmtId="0" fontId="33" fillId="18" borderId="31" xfId="0" applyFont="1" applyFill="1" applyBorder="1" applyAlignment="1" applyProtection="1">
      <alignment horizontal="center" vertical="center" wrapText="1"/>
      <protection locked="0"/>
    </xf>
    <xf numFmtId="0" fontId="26" fillId="14" borderId="0" xfId="0" applyFont="1" applyFill="1" applyAlignment="1" applyProtection="1">
      <alignment horizontal="center" vertical="center" wrapText="1"/>
      <protection locked="0"/>
    </xf>
    <xf numFmtId="0" fontId="1" fillId="17" borderId="1" xfId="0" applyFont="1" applyFill="1" applyBorder="1" applyAlignment="1">
      <alignment horizontal="center" vertical="center" wrapText="1"/>
    </xf>
    <xf numFmtId="0" fontId="1" fillId="17" borderId="8" xfId="0" applyFont="1" applyFill="1" applyBorder="1" applyAlignment="1">
      <alignment horizontal="center" vertical="center" wrapText="1"/>
    </xf>
    <xf numFmtId="0" fontId="2" fillId="0" borderId="27" xfId="1" applyFill="1" applyBorder="1" applyAlignment="1">
      <alignment horizontal="center"/>
    </xf>
    <xf numFmtId="0" fontId="6" fillId="0" borderId="25" xfId="1" applyFont="1" applyFill="1" applyBorder="1" applyAlignment="1">
      <alignment horizontal="center"/>
    </xf>
    <xf numFmtId="0" fontId="6" fillId="0" borderId="24" xfId="1" applyFont="1" applyFill="1" applyBorder="1" applyAlignment="1">
      <alignment horizontal="center"/>
    </xf>
    <xf numFmtId="0" fontId="5" fillId="0" borderId="0" xfId="0" applyFont="1" applyAlignment="1">
      <alignment horizontal="center"/>
    </xf>
    <xf numFmtId="0" fontId="2" fillId="0" borderId="22" xfId="1" applyFill="1" applyBorder="1" applyAlignment="1">
      <alignment horizontal="center"/>
    </xf>
    <xf numFmtId="0" fontId="2" fillId="0" borderId="23" xfId="1" applyFill="1" applyBorder="1" applyAlignment="1">
      <alignment horizontal="center"/>
    </xf>
    <xf numFmtId="0" fontId="2" fillId="0" borderId="20" xfId="1" applyFill="1" applyBorder="1" applyAlignment="1">
      <alignment horizontal="center"/>
    </xf>
    <xf numFmtId="0" fontId="2" fillId="0" borderId="22" xfId="1" applyBorder="1" applyAlignment="1">
      <alignment horizontal="center" wrapText="1"/>
    </xf>
    <xf numFmtId="0" fontId="5" fillId="0" borderId="23" xfId="0" applyFont="1" applyBorder="1" applyAlignment="1">
      <alignment horizontal="center" wrapText="1"/>
    </xf>
    <xf numFmtId="0" fontId="5" fillId="0" borderId="20" xfId="0" applyFont="1" applyBorder="1" applyAlignment="1">
      <alignment horizontal="center" wrapText="1"/>
    </xf>
    <xf numFmtId="0" fontId="6" fillId="0" borderId="23" xfId="1" applyFont="1" applyFill="1" applyBorder="1" applyAlignment="1">
      <alignment horizontal="center"/>
    </xf>
    <xf numFmtId="0" fontId="6" fillId="0" borderId="20" xfId="1" applyFont="1" applyFill="1" applyBorder="1" applyAlignment="1">
      <alignment horizontal="center"/>
    </xf>
    <xf numFmtId="0" fontId="2" fillId="0" borderId="22" xfId="1" applyFill="1" applyBorder="1" applyAlignment="1">
      <alignment horizontal="left"/>
    </xf>
    <xf numFmtId="0" fontId="6" fillId="0" borderId="23" xfId="1" applyFont="1" applyFill="1" applyBorder="1" applyAlignment="1">
      <alignment horizontal="left"/>
    </xf>
    <xf numFmtId="0" fontId="6" fillId="0" borderId="20" xfId="1" applyFont="1" applyFill="1" applyBorder="1" applyAlignment="1">
      <alignment horizontal="left"/>
    </xf>
    <xf numFmtId="0" fontId="3" fillId="6" borderId="8" xfId="0" applyFont="1" applyFill="1" applyBorder="1" applyAlignment="1">
      <alignment horizontal="center"/>
    </xf>
    <xf numFmtId="0" fontId="3" fillId="6" borderId="6" xfId="0" applyFont="1" applyFill="1" applyBorder="1" applyAlignment="1">
      <alignment horizontal="center"/>
    </xf>
    <xf numFmtId="0" fontId="3" fillId="7" borderId="12" xfId="0" applyFont="1" applyFill="1" applyBorder="1" applyAlignment="1">
      <alignment horizontal="center"/>
    </xf>
    <xf numFmtId="0" fontId="3" fillId="7" borderId="21" xfId="0" applyFont="1" applyFill="1" applyBorder="1" applyAlignment="1">
      <alignment horizontal="center"/>
    </xf>
    <xf numFmtId="0" fontId="2" fillId="0" borderId="12" xfId="1" applyFill="1" applyBorder="1" applyAlignment="1"/>
    <xf numFmtId="0" fontId="6" fillId="0" borderId="12" xfId="1" applyFont="1" applyFill="1" applyBorder="1" applyAlignment="1"/>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0" borderId="9" xfId="0" applyFont="1" applyBorder="1"/>
    <xf numFmtId="0" fontId="3" fillId="0" borderId="10" xfId="0" applyFont="1" applyBorder="1"/>
    <xf numFmtId="0" fontId="3" fillId="0" borderId="11" xfId="0" applyFont="1" applyBorder="1"/>
    <xf numFmtId="0" fontId="3" fillId="0" borderId="17" xfId="0" applyFont="1" applyBorder="1"/>
    <xf numFmtId="0" fontId="3" fillId="0" borderId="0" xfId="0" applyFont="1"/>
    <xf numFmtId="0" fontId="3" fillId="0" borderId="19" xfId="0" applyFont="1" applyBorder="1"/>
    <xf numFmtId="0" fontId="3" fillId="0" borderId="1" xfId="0" applyFont="1" applyBorder="1"/>
    <xf numFmtId="0" fontId="3" fillId="0" borderId="2" xfId="0" applyFont="1" applyBorder="1"/>
    <xf numFmtId="0" fontId="3" fillId="0" borderId="13" xfId="0" applyFont="1" applyBorder="1"/>
    <xf numFmtId="0" fontId="3" fillId="0" borderId="3"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2" borderId="6" xfId="0" applyFont="1" applyFill="1" applyBorder="1" applyAlignment="1">
      <alignment horizontal="center"/>
    </xf>
    <xf numFmtId="0" fontId="3" fillId="2" borderId="7" xfId="0" applyFont="1" applyFill="1" applyBorder="1" applyAlignment="1">
      <alignment horizontal="center"/>
    </xf>
    <xf numFmtId="0" fontId="3" fillId="3" borderId="8" xfId="0" applyFont="1" applyFill="1" applyBorder="1" applyAlignment="1">
      <alignment horizontal="center"/>
    </xf>
    <xf numFmtId="0" fontId="3" fillId="3" borderId="6" xfId="0" applyFont="1" applyFill="1" applyBorder="1" applyAlignment="1">
      <alignment horizontal="center"/>
    </xf>
    <xf numFmtId="0" fontId="2" fillId="0" borderId="8" xfId="1" applyBorder="1" applyAlignment="1">
      <alignment horizontal="center" wrapText="1"/>
    </xf>
    <xf numFmtId="0" fontId="2" fillId="0" borderId="6" xfId="1" applyBorder="1" applyAlignment="1">
      <alignment horizontal="center" wrapText="1"/>
    </xf>
    <xf numFmtId="0" fontId="2" fillId="0" borderId="7" xfId="1" applyBorder="1" applyAlignment="1">
      <alignment horizontal="center" wrapText="1"/>
    </xf>
    <xf numFmtId="0" fontId="5" fillId="0" borderId="0" xfId="0" applyFont="1" applyAlignment="1">
      <alignment horizontal="center" wrapText="1"/>
    </xf>
    <xf numFmtId="0" fontId="2" fillId="0" borderId="8" xfId="1" applyFill="1" applyBorder="1" applyAlignment="1">
      <alignment horizontal="center" wrapText="1"/>
    </xf>
    <xf numFmtId="0" fontId="2" fillId="0" borderId="6" xfId="1" applyFill="1" applyBorder="1" applyAlignment="1">
      <alignment horizontal="center" wrapText="1"/>
    </xf>
    <xf numFmtId="0" fontId="2" fillId="0" borderId="7" xfId="1" applyFill="1" applyBorder="1" applyAlignment="1">
      <alignment horizontal="center" wrapText="1"/>
    </xf>
    <xf numFmtId="0" fontId="3" fillId="6" borderId="1" xfId="0" applyFont="1" applyFill="1" applyBorder="1" applyAlignment="1">
      <alignment horizontal="center" wrapText="1"/>
    </xf>
    <xf numFmtId="0" fontId="3" fillId="7" borderId="1" xfId="0" applyFont="1" applyFill="1" applyBorder="1" applyAlignment="1">
      <alignment horizontal="center" wrapText="1"/>
    </xf>
    <xf numFmtId="0" fontId="2" fillId="0" borderId="1" xfId="1" applyBorder="1" applyAlignment="1">
      <alignment wrapText="1"/>
    </xf>
    <xf numFmtId="0" fontId="5" fillId="0" borderId="1" xfId="0" applyFont="1" applyBorder="1" applyAlignment="1">
      <alignment wrapText="1"/>
    </xf>
    <xf numFmtId="0" fontId="2" fillId="0" borderId="1" xfId="1" applyFill="1" applyBorder="1" applyAlignment="1">
      <alignment horizontal="center" wrapText="1"/>
    </xf>
    <xf numFmtId="0" fontId="6" fillId="0" borderId="1" xfId="1" applyFont="1" applyFill="1" applyBorder="1" applyAlignment="1">
      <alignment horizontal="center" wrapText="1"/>
    </xf>
    <xf numFmtId="0" fontId="2" fillId="0" borderId="1" xfId="1" applyFill="1" applyBorder="1" applyAlignment="1">
      <alignment wrapText="1"/>
    </xf>
    <xf numFmtId="0" fontId="6" fillId="0" borderId="1" xfId="1" applyFont="1" applyFill="1" applyBorder="1" applyAlignment="1">
      <alignment wrapText="1"/>
    </xf>
    <xf numFmtId="0" fontId="2" fillId="0" borderId="9" xfId="1" applyBorder="1" applyAlignment="1">
      <alignment horizontal="center" wrapText="1"/>
    </xf>
    <xf numFmtId="0" fontId="2" fillId="0" borderId="10" xfId="1" applyBorder="1" applyAlignment="1">
      <alignment horizontal="center" wrapText="1"/>
    </xf>
    <xf numFmtId="0" fontId="2" fillId="0" borderId="2" xfId="1" applyBorder="1" applyAlignment="1">
      <alignment horizontal="center" wrapText="1"/>
    </xf>
    <xf numFmtId="0" fontId="2" fillId="0" borderId="3" xfId="1" applyBorder="1" applyAlignment="1">
      <alignment horizontal="center" wrapText="1"/>
    </xf>
    <xf numFmtId="0" fontId="2" fillId="0" borderId="4" xfId="1" applyBorder="1" applyAlignment="1">
      <alignment horizontal="center" wrapText="1"/>
    </xf>
    <xf numFmtId="0" fontId="2" fillId="0" borderId="30" xfId="1" applyBorder="1" applyAlignment="1">
      <alignment horizontal="center" wrapText="1"/>
    </xf>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3" fillId="0" borderId="1" xfId="0" applyFont="1" applyBorder="1" applyAlignment="1">
      <alignment wrapText="1"/>
    </xf>
    <xf numFmtId="0" fontId="3" fillId="0" borderId="8" xfId="0" applyFont="1" applyBorder="1" applyAlignment="1">
      <alignment horizontal="center" wrapText="1"/>
    </xf>
    <xf numFmtId="0" fontId="3" fillId="0" borderId="6" xfId="0" applyFont="1" applyBorder="1" applyAlignment="1">
      <alignment horizontal="center" wrapText="1"/>
    </xf>
    <xf numFmtId="0" fontId="3" fillId="0" borderId="7" xfId="0" applyFont="1" applyBorder="1" applyAlignment="1">
      <alignment horizontal="center" wrapText="1"/>
    </xf>
    <xf numFmtId="0" fontId="3" fillId="2" borderId="1" xfId="0" applyFont="1" applyFill="1" applyBorder="1" applyAlignment="1">
      <alignment horizontal="center" wrapText="1"/>
    </xf>
    <xf numFmtId="0" fontId="3" fillId="3" borderId="1" xfId="0" applyFont="1" applyFill="1" applyBorder="1" applyAlignment="1">
      <alignment horizontal="center" wrapText="1"/>
    </xf>
  </cellXfs>
  <cellStyles count="2">
    <cellStyle name="Hyperlink" xfId="1" builtinId="8"/>
    <cellStyle name="Normal" xfId="0" builtinId="0"/>
  </cellStyles>
  <dxfs count="57">
    <dxf>
      <font>
        <b val="0"/>
        <i val="0"/>
        <strike val="0"/>
        <condense val="0"/>
        <extend val="0"/>
        <outline val="0"/>
        <shadow val="0"/>
        <u val="none"/>
        <vertAlign val="baseline"/>
        <sz val="12"/>
        <color theme="1"/>
        <name val="Aptos"/>
        <family val="2"/>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entury Gothic"/>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entury Gothic"/>
        <family val="2"/>
        <scheme val="minor"/>
      </font>
      <alignment horizontal="general"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auto="1"/>
        <name val="Century Gothic"/>
        <family val="2"/>
        <scheme val="minor"/>
      </font>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36C476"/>
      <color rgb="FF1FDB1F"/>
      <color rgb="FFFFFFFF"/>
      <color rgb="FF9A90E4"/>
      <color rgb="FF4B42F8"/>
      <color rgb="FFFFCCCC"/>
      <color rgb="FF3F9D9F"/>
      <color rgb="FFE77979"/>
      <color rgb="FF0E06AA"/>
      <color rgb="FF1593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7</xdr:col>
      <xdr:colOff>539749</xdr:colOff>
      <xdr:row>23</xdr:row>
      <xdr:rowOff>1</xdr:rowOff>
    </xdr:from>
    <xdr:to>
      <xdr:col>8</xdr:col>
      <xdr:colOff>148166</xdr:colOff>
      <xdr:row>24</xdr:row>
      <xdr:rowOff>201083</xdr:rowOff>
    </xdr:to>
    <xdr:sp macro="" textlink="">
      <xdr:nvSpPr>
        <xdr:cNvPr id="51" name="Rectangle: Rounded Corners 50">
          <a:extLst>
            <a:ext uri="{FF2B5EF4-FFF2-40B4-BE49-F238E27FC236}">
              <a16:creationId xmlns:a16="http://schemas.microsoft.com/office/drawing/2014/main" id="{ECFCF627-0CE2-7F5D-740A-32395B82FB6E}"/>
            </a:ext>
          </a:extLst>
        </xdr:cNvPr>
        <xdr:cNvSpPr/>
      </xdr:nvSpPr>
      <xdr:spPr>
        <a:xfrm>
          <a:off x="14181666" y="9641418"/>
          <a:ext cx="1672167" cy="645582"/>
        </a:xfrm>
        <a:prstGeom prst="roundRect">
          <a:avLst/>
        </a:prstGeom>
        <a:solidFill>
          <a:schemeClr val="bg1">
            <a:lumMod val="8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18517</xdr:colOff>
      <xdr:row>9</xdr:row>
      <xdr:rowOff>25246</xdr:rowOff>
    </xdr:from>
    <xdr:to>
      <xdr:col>11</xdr:col>
      <xdr:colOff>16930</xdr:colOff>
      <xdr:row>12</xdr:row>
      <xdr:rowOff>261434</xdr:rowOff>
    </xdr:to>
    <xdr:grpSp>
      <xdr:nvGrpSpPr>
        <xdr:cNvPr id="1027" name="Group 1026">
          <a:extLst>
            <a:ext uri="{FF2B5EF4-FFF2-40B4-BE49-F238E27FC236}">
              <a16:creationId xmlns:a16="http://schemas.microsoft.com/office/drawing/2014/main" id="{00000000-0008-0000-0400-000003040000}"/>
            </a:ext>
          </a:extLst>
        </xdr:cNvPr>
        <xdr:cNvGrpSpPr/>
      </xdr:nvGrpSpPr>
      <xdr:grpSpPr>
        <a:xfrm>
          <a:off x="1034517" y="3242579"/>
          <a:ext cx="19080163" cy="680688"/>
          <a:chOff x="1026024" y="2744891"/>
          <a:chExt cx="19091303" cy="681470"/>
        </a:xfrm>
      </xdr:grpSpPr>
      <xdr:sp macro="" textlink="">
        <xdr:nvSpPr>
          <xdr:cNvPr id="30" name="Rectangle: Rounded Corners 29">
            <a:extLst>
              <a:ext uri="{FF2B5EF4-FFF2-40B4-BE49-F238E27FC236}">
                <a16:creationId xmlns:a16="http://schemas.microsoft.com/office/drawing/2014/main" id="{00000000-0008-0000-0400-00001E000000}"/>
              </a:ext>
            </a:extLst>
          </xdr:cNvPr>
          <xdr:cNvSpPr/>
        </xdr:nvSpPr>
        <xdr:spPr>
          <a:xfrm>
            <a:off x="3771005" y="2748539"/>
            <a:ext cx="1955839"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Additional Test</a:t>
            </a:r>
          </a:p>
        </xdr:txBody>
      </xdr:sp>
      <xdr:sp macro="" textlink="">
        <xdr:nvSpPr>
          <xdr:cNvPr id="35" name="Rectangle: Rounded Corners 34">
            <a:extLst>
              <a:ext uri="{FF2B5EF4-FFF2-40B4-BE49-F238E27FC236}">
                <a16:creationId xmlns:a16="http://schemas.microsoft.com/office/drawing/2014/main" id="{00000000-0008-0000-0400-000023000000}"/>
              </a:ext>
            </a:extLst>
          </xdr:cNvPr>
          <xdr:cNvSpPr/>
        </xdr:nvSpPr>
        <xdr:spPr>
          <a:xfrm>
            <a:off x="7418398" y="2752274"/>
            <a:ext cx="1892440"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User</a:t>
            </a:r>
          </a:p>
        </xdr:txBody>
      </xdr:sp>
      <xdr:sp macro="" textlink="">
        <xdr:nvSpPr>
          <xdr:cNvPr id="37" name="Rectangle: Rounded Corners 36">
            <a:extLst>
              <a:ext uri="{FF2B5EF4-FFF2-40B4-BE49-F238E27FC236}">
                <a16:creationId xmlns:a16="http://schemas.microsoft.com/office/drawing/2014/main" id="{00000000-0008-0000-0400-000025000000}"/>
              </a:ext>
            </a:extLst>
          </xdr:cNvPr>
          <xdr:cNvSpPr/>
        </xdr:nvSpPr>
        <xdr:spPr>
          <a:xfrm>
            <a:off x="9367091" y="2748538"/>
            <a:ext cx="2751669"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400" b="1" kern="1200" noProof="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Use</a:t>
            </a:r>
          </a:p>
        </xdr:txBody>
      </xdr:sp>
      <xdr:sp macro="" textlink="">
        <xdr:nvSpPr>
          <xdr:cNvPr id="38" name="Rectangle: Rounded Corners 37">
            <a:extLst>
              <a:ext uri="{FF2B5EF4-FFF2-40B4-BE49-F238E27FC236}">
                <a16:creationId xmlns:a16="http://schemas.microsoft.com/office/drawing/2014/main" id="{00000000-0008-0000-0400-000026000000}"/>
              </a:ext>
            </a:extLst>
          </xdr:cNvPr>
          <xdr:cNvSpPr/>
        </xdr:nvSpPr>
        <xdr:spPr>
          <a:xfrm>
            <a:off x="13713451" y="2744891"/>
            <a:ext cx="1984779" cy="665333"/>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Type of Sample</a:t>
            </a:r>
          </a:p>
        </xdr:txBody>
      </xdr:sp>
      <xdr:sp macro="" textlink="">
        <xdr:nvSpPr>
          <xdr:cNvPr id="41" name="Rectangle: Rounded Corners 40">
            <a:extLst>
              <a:ext uri="{FF2B5EF4-FFF2-40B4-BE49-F238E27FC236}">
                <a16:creationId xmlns:a16="http://schemas.microsoft.com/office/drawing/2014/main" id="{00000000-0008-0000-0400-000029000000}"/>
              </a:ext>
            </a:extLst>
          </xdr:cNvPr>
          <xdr:cNvSpPr/>
        </xdr:nvSpPr>
        <xdr:spPr>
          <a:xfrm>
            <a:off x="5783099" y="2762254"/>
            <a:ext cx="1579045"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Reporting Units</a:t>
            </a:r>
          </a:p>
        </xdr:txBody>
      </xdr:sp>
      <xdr:sp macro="" textlink="">
        <xdr:nvSpPr>
          <xdr:cNvPr id="42" name="Rectangle: Rounded Corners 41">
            <a:extLst>
              <a:ext uri="{FF2B5EF4-FFF2-40B4-BE49-F238E27FC236}">
                <a16:creationId xmlns:a16="http://schemas.microsoft.com/office/drawing/2014/main" id="{00000000-0008-0000-0400-00002A000000}"/>
              </a:ext>
            </a:extLst>
          </xdr:cNvPr>
          <xdr:cNvSpPr/>
        </xdr:nvSpPr>
        <xdr:spPr>
          <a:xfrm>
            <a:off x="1026024" y="2767561"/>
            <a:ext cx="2653267"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Sample Prep </a:t>
            </a:r>
          </a:p>
        </xdr:txBody>
      </xdr:sp>
      <xdr:sp macro="" textlink="">
        <xdr:nvSpPr>
          <xdr:cNvPr id="49" name="Rectangle: Rounded Corners 48">
            <a:extLst>
              <a:ext uri="{FF2B5EF4-FFF2-40B4-BE49-F238E27FC236}">
                <a16:creationId xmlns:a16="http://schemas.microsoft.com/office/drawing/2014/main" id="{00000000-0008-0000-0400-000031000000}"/>
              </a:ext>
            </a:extLst>
          </xdr:cNvPr>
          <xdr:cNvSpPr/>
        </xdr:nvSpPr>
        <xdr:spPr>
          <a:xfrm>
            <a:off x="12175015" y="2749459"/>
            <a:ext cx="1492252"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Handling</a:t>
            </a:r>
          </a:p>
        </xdr:txBody>
      </xdr:sp>
      <xdr:sp macro="" textlink="">
        <xdr:nvSpPr>
          <xdr:cNvPr id="50" name="Rectangle: Rounded Corners 49">
            <a:extLst>
              <a:ext uri="{FF2B5EF4-FFF2-40B4-BE49-F238E27FC236}">
                <a16:creationId xmlns:a16="http://schemas.microsoft.com/office/drawing/2014/main" id="{00000000-0008-0000-0400-000032000000}"/>
              </a:ext>
            </a:extLst>
          </xdr:cNvPr>
          <xdr:cNvSpPr/>
        </xdr:nvSpPr>
        <xdr:spPr>
          <a:xfrm>
            <a:off x="18522717" y="2753378"/>
            <a:ext cx="1594610"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Equipment  </a:t>
            </a:r>
          </a:p>
        </xdr:txBody>
      </xdr:sp>
      <xdr:sp macro="" textlink="">
        <xdr:nvSpPr>
          <xdr:cNvPr id="54" name="Rectangle: Rounded Corners 53">
            <a:extLst>
              <a:ext uri="{FF2B5EF4-FFF2-40B4-BE49-F238E27FC236}">
                <a16:creationId xmlns:a16="http://schemas.microsoft.com/office/drawing/2014/main" id="{00000000-0008-0000-0400-000036000000}"/>
              </a:ext>
            </a:extLst>
          </xdr:cNvPr>
          <xdr:cNvSpPr/>
        </xdr:nvSpPr>
        <xdr:spPr>
          <a:xfrm>
            <a:off x="17056415" y="2756980"/>
            <a:ext cx="1381485" cy="658801"/>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Not provided </a:t>
            </a:r>
          </a:p>
        </xdr:txBody>
      </xdr:sp>
      <xdr:sp macro="" textlink="">
        <xdr:nvSpPr>
          <xdr:cNvPr id="55" name="Rectangle: Rounded Corners 54">
            <a:extLst>
              <a:ext uri="{FF2B5EF4-FFF2-40B4-BE49-F238E27FC236}">
                <a16:creationId xmlns:a16="http://schemas.microsoft.com/office/drawing/2014/main" id="{00000000-0008-0000-0400-000037000000}"/>
              </a:ext>
            </a:extLst>
          </xdr:cNvPr>
          <xdr:cNvSpPr/>
        </xdr:nvSpPr>
        <xdr:spPr>
          <a:xfrm>
            <a:off x="15736613" y="2758082"/>
            <a:ext cx="1250872"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Control</a:t>
            </a:r>
          </a:p>
        </xdr:txBody>
      </xdr:sp>
    </xdr:grpSp>
    <xdr:clientData/>
  </xdr:twoCellAnchor>
  <xdr:twoCellAnchor>
    <xdr:from>
      <xdr:col>1</xdr:col>
      <xdr:colOff>10582</xdr:colOff>
      <xdr:row>14</xdr:row>
      <xdr:rowOff>39050</xdr:rowOff>
    </xdr:from>
    <xdr:to>
      <xdr:col>10</xdr:col>
      <xdr:colOff>1619251</xdr:colOff>
      <xdr:row>15</xdr:row>
      <xdr:rowOff>204245</xdr:rowOff>
    </xdr:to>
    <xdr:grpSp>
      <xdr:nvGrpSpPr>
        <xdr:cNvPr id="1030" name="Group 1029">
          <a:extLst>
            <a:ext uri="{FF2B5EF4-FFF2-40B4-BE49-F238E27FC236}">
              <a16:creationId xmlns:a16="http://schemas.microsoft.com/office/drawing/2014/main" id="{00000000-0008-0000-0400-000006040000}"/>
            </a:ext>
          </a:extLst>
        </xdr:cNvPr>
        <xdr:cNvGrpSpPr/>
      </xdr:nvGrpSpPr>
      <xdr:grpSpPr>
        <a:xfrm>
          <a:off x="1026582" y="6389050"/>
          <a:ext cx="19018252" cy="673195"/>
          <a:chOff x="1026582" y="4939133"/>
          <a:chExt cx="19020576" cy="673195"/>
        </a:xfrm>
      </xdr:grpSpPr>
      <xdr:sp macro="" textlink="">
        <xdr:nvSpPr>
          <xdr:cNvPr id="60" name="Rectangle: Rounded Corners 59">
            <a:extLst>
              <a:ext uri="{FF2B5EF4-FFF2-40B4-BE49-F238E27FC236}">
                <a16:creationId xmlns:a16="http://schemas.microsoft.com/office/drawing/2014/main" id="{00000000-0008-0000-0400-00003C000000}"/>
              </a:ext>
            </a:extLst>
          </xdr:cNvPr>
          <xdr:cNvSpPr/>
        </xdr:nvSpPr>
        <xdr:spPr>
          <a:xfrm>
            <a:off x="3755649" y="4946648"/>
            <a:ext cx="1965537"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Calibration </a:t>
            </a:r>
          </a:p>
        </xdr:txBody>
      </xdr:sp>
      <xdr:sp macro="" textlink="">
        <xdr:nvSpPr>
          <xdr:cNvPr id="61" name="Rectangle: Rounded Corners 60">
            <a:extLst>
              <a:ext uri="{FF2B5EF4-FFF2-40B4-BE49-F238E27FC236}">
                <a16:creationId xmlns:a16="http://schemas.microsoft.com/office/drawing/2014/main" id="{00000000-0008-0000-0400-00003D000000}"/>
              </a:ext>
            </a:extLst>
          </xdr:cNvPr>
          <xdr:cNvSpPr/>
        </xdr:nvSpPr>
        <xdr:spPr>
          <a:xfrm>
            <a:off x="7392600" y="4946117"/>
            <a:ext cx="1843406" cy="658801"/>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Precision </a:t>
            </a:r>
          </a:p>
        </xdr:txBody>
      </xdr:sp>
      <xdr:sp macro="" textlink="">
        <xdr:nvSpPr>
          <xdr:cNvPr id="62" name="Rectangle: Rounded Corners 61">
            <a:extLst>
              <a:ext uri="{FF2B5EF4-FFF2-40B4-BE49-F238E27FC236}">
                <a16:creationId xmlns:a16="http://schemas.microsoft.com/office/drawing/2014/main" id="{00000000-0008-0000-0400-00003E000000}"/>
              </a:ext>
            </a:extLst>
          </xdr:cNvPr>
          <xdr:cNvSpPr/>
        </xdr:nvSpPr>
        <xdr:spPr>
          <a:xfrm>
            <a:off x="9287488" y="4951835"/>
            <a:ext cx="2794001" cy="658801"/>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400" b="1" kern="1200" noProof="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        Limitation </a:t>
            </a:r>
          </a:p>
        </xdr:txBody>
      </xdr:sp>
      <xdr:sp macro="" textlink="">
        <xdr:nvSpPr>
          <xdr:cNvPr id="63" name="Rectangle: Rounded Corners 62">
            <a:extLst>
              <a:ext uri="{FF2B5EF4-FFF2-40B4-BE49-F238E27FC236}">
                <a16:creationId xmlns:a16="http://schemas.microsoft.com/office/drawing/2014/main" id="{00000000-0008-0000-0400-00003F000000}"/>
              </a:ext>
            </a:extLst>
          </xdr:cNvPr>
          <xdr:cNvSpPr/>
        </xdr:nvSpPr>
        <xdr:spPr>
          <a:xfrm>
            <a:off x="1026582" y="4942838"/>
            <a:ext cx="2677585"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Storage temeprature  </a:t>
            </a:r>
          </a:p>
        </xdr:txBody>
      </xdr:sp>
      <xdr:sp macro="" textlink="">
        <xdr:nvSpPr>
          <xdr:cNvPr id="4096" name="Rectangle: Rounded Corners 4095">
            <a:extLst>
              <a:ext uri="{FF2B5EF4-FFF2-40B4-BE49-F238E27FC236}">
                <a16:creationId xmlns:a16="http://schemas.microsoft.com/office/drawing/2014/main" id="{00000000-0008-0000-0400-000000100000}"/>
              </a:ext>
            </a:extLst>
          </xdr:cNvPr>
          <xdr:cNvSpPr/>
        </xdr:nvSpPr>
        <xdr:spPr>
          <a:xfrm>
            <a:off x="5772668" y="4948871"/>
            <a:ext cx="1568450" cy="658801"/>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Shelf life  </a:t>
            </a:r>
          </a:p>
        </xdr:txBody>
      </xdr:sp>
      <xdr:sp macro="" textlink="">
        <xdr:nvSpPr>
          <xdr:cNvPr id="4098" name="Rectangle: Rounded Corners 4097">
            <a:extLst>
              <a:ext uri="{FF2B5EF4-FFF2-40B4-BE49-F238E27FC236}">
                <a16:creationId xmlns:a16="http://schemas.microsoft.com/office/drawing/2014/main" id="{00000000-0008-0000-0400-000002100000}"/>
              </a:ext>
            </a:extLst>
          </xdr:cNvPr>
          <xdr:cNvSpPr/>
        </xdr:nvSpPr>
        <xdr:spPr>
          <a:xfrm>
            <a:off x="13654690" y="4944955"/>
            <a:ext cx="2022474" cy="658801"/>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Interference </a:t>
            </a:r>
          </a:p>
        </xdr:txBody>
      </xdr:sp>
      <xdr:sp macro="" textlink="">
        <xdr:nvSpPr>
          <xdr:cNvPr id="4099" name="Rectangle: Rounded Corners 4098">
            <a:extLst>
              <a:ext uri="{FF2B5EF4-FFF2-40B4-BE49-F238E27FC236}">
                <a16:creationId xmlns:a16="http://schemas.microsoft.com/office/drawing/2014/main" id="{00000000-0008-0000-0400-000003100000}"/>
              </a:ext>
            </a:extLst>
          </xdr:cNvPr>
          <xdr:cNvSpPr/>
        </xdr:nvSpPr>
        <xdr:spPr>
          <a:xfrm>
            <a:off x="12132971" y="4950880"/>
            <a:ext cx="1470237" cy="658801"/>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Reference Range </a:t>
            </a:r>
          </a:p>
        </xdr:txBody>
      </xdr:sp>
      <xdr:sp macro="" textlink="">
        <xdr:nvSpPr>
          <xdr:cNvPr id="4100" name="Rectangle: Rounded Corners 4099">
            <a:extLst>
              <a:ext uri="{FF2B5EF4-FFF2-40B4-BE49-F238E27FC236}">
                <a16:creationId xmlns:a16="http://schemas.microsoft.com/office/drawing/2014/main" id="{00000000-0008-0000-0400-000004100000}"/>
              </a:ext>
            </a:extLst>
          </xdr:cNvPr>
          <xdr:cNvSpPr/>
        </xdr:nvSpPr>
        <xdr:spPr>
          <a:xfrm>
            <a:off x="18446748" y="4944003"/>
            <a:ext cx="1600410" cy="658801"/>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Operating temperature   </a:t>
            </a:r>
          </a:p>
        </xdr:txBody>
      </xdr:sp>
      <xdr:sp macro="" textlink="">
        <xdr:nvSpPr>
          <xdr:cNvPr id="4101" name="Rectangle: Rounded Corners 4100">
            <a:extLst>
              <a:ext uri="{FF2B5EF4-FFF2-40B4-BE49-F238E27FC236}">
                <a16:creationId xmlns:a16="http://schemas.microsoft.com/office/drawing/2014/main" id="{00000000-0008-0000-0400-000005100000}"/>
              </a:ext>
            </a:extLst>
          </xdr:cNvPr>
          <xdr:cNvSpPr/>
        </xdr:nvSpPr>
        <xdr:spPr>
          <a:xfrm>
            <a:off x="17092461" y="4939133"/>
            <a:ext cx="1323976" cy="658801"/>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Humidity </a:t>
            </a:r>
          </a:p>
        </xdr:txBody>
      </xdr:sp>
      <xdr:sp macro="" textlink="">
        <xdr:nvSpPr>
          <xdr:cNvPr id="4102" name="Rectangle: Rounded Corners 4101">
            <a:extLst>
              <a:ext uri="{FF2B5EF4-FFF2-40B4-BE49-F238E27FC236}">
                <a16:creationId xmlns:a16="http://schemas.microsoft.com/office/drawing/2014/main" id="{00000000-0008-0000-0400-000006100000}"/>
              </a:ext>
            </a:extLst>
          </xdr:cNvPr>
          <xdr:cNvSpPr/>
        </xdr:nvSpPr>
        <xdr:spPr>
          <a:xfrm>
            <a:off x="15728646" y="4953528"/>
            <a:ext cx="1312333"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Data Export </a:t>
            </a:r>
          </a:p>
        </xdr:txBody>
      </xdr:sp>
    </xdr:grpSp>
    <xdr:clientData/>
  </xdr:twoCellAnchor>
  <xdr:twoCellAnchor>
    <xdr:from>
      <xdr:col>1</xdr:col>
      <xdr:colOff>9526</xdr:colOff>
      <xdr:row>18</xdr:row>
      <xdr:rowOff>50800</xdr:rowOff>
    </xdr:from>
    <xdr:to>
      <xdr:col>4</xdr:col>
      <xdr:colOff>1949450</xdr:colOff>
      <xdr:row>20</xdr:row>
      <xdr:rowOff>301614</xdr:rowOff>
    </xdr:to>
    <xdr:grpSp>
      <xdr:nvGrpSpPr>
        <xdr:cNvPr id="1031" name="Group 1030">
          <a:extLst>
            <a:ext uri="{FF2B5EF4-FFF2-40B4-BE49-F238E27FC236}">
              <a16:creationId xmlns:a16="http://schemas.microsoft.com/office/drawing/2014/main" id="{00000000-0008-0000-0400-000007040000}"/>
            </a:ext>
          </a:extLst>
        </xdr:cNvPr>
        <xdr:cNvGrpSpPr/>
      </xdr:nvGrpSpPr>
      <xdr:grpSpPr>
        <a:xfrm>
          <a:off x="1025526" y="9988550"/>
          <a:ext cx="8258174" cy="525981"/>
          <a:chOff x="1025526" y="7088717"/>
          <a:chExt cx="8258174" cy="674147"/>
        </a:xfrm>
      </xdr:grpSpPr>
      <xdr:sp macro="" textlink="">
        <xdr:nvSpPr>
          <xdr:cNvPr id="4104" name="Rectangle: Rounded Corners 4103">
            <a:extLst>
              <a:ext uri="{FF2B5EF4-FFF2-40B4-BE49-F238E27FC236}">
                <a16:creationId xmlns:a16="http://schemas.microsoft.com/office/drawing/2014/main" id="{00000000-0008-0000-0400-000008100000}"/>
              </a:ext>
            </a:extLst>
          </xdr:cNvPr>
          <xdr:cNvSpPr/>
        </xdr:nvSpPr>
        <xdr:spPr>
          <a:xfrm>
            <a:off x="3747558" y="7103007"/>
            <a:ext cx="1994958" cy="658799"/>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Display </a:t>
            </a:r>
          </a:p>
        </xdr:txBody>
      </xdr:sp>
      <xdr:sp macro="" textlink="">
        <xdr:nvSpPr>
          <xdr:cNvPr id="4105" name="Rectangle: Rounded Corners 4104">
            <a:extLst>
              <a:ext uri="{FF2B5EF4-FFF2-40B4-BE49-F238E27FC236}">
                <a16:creationId xmlns:a16="http://schemas.microsoft.com/office/drawing/2014/main" id="{00000000-0008-0000-0400-000009100000}"/>
              </a:ext>
            </a:extLst>
          </xdr:cNvPr>
          <xdr:cNvSpPr/>
        </xdr:nvSpPr>
        <xdr:spPr>
          <a:xfrm>
            <a:off x="7374465" y="7088717"/>
            <a:ext cx="1909235" cy="658799"/>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Product Link</a:t>
            </a:r>
          </a:p>
        </xdr:txBody>
      </xdr:sp>
      <xdr:sp macro="" textlink="">
        <xdr:nvSpPr>
          <xdr:cNvPr id="4106" name="Rectangle: Rounded Corners 4105">
            <a:extLst>
              <a:ext uri="{FF2B5EF4-FFF2-40B4-BE49-F238E27FC236}">
                <a16:creationId xmlns:a16="http://schemas.microsoft.com/office/drawing/2014/main" id="{00000000-0008-0000-0400-00000A100000}"/>
              </a:ext>
            </a:extLst>
          </xdr:cNvPr>
          <xdr:cNvSpPr/>
        </xdr:nvSpPr>
        <xdr:spPr>
          <a:xfrm>
            <a:off x="1025526" y="7104065"/>
            <a:ext cx="2668058" cy="658799"/>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 Power </a:t>
            </a:r>
          </a:p>
        </xdr:txBody>
      </xdr:sp>
      <xdr:sp macro="" textlink="">
        <xdr:nvSpPr>
          <xdr:cNvPr id="4107" name="Rectangle: Rounded Corners 4106">
            <a:extLst>
              <a:ext uri="{FF2B5EF4-FFF2-40B4-BE49-F238E27FC236}">
                <a16:creationId xmlns:a16="http://schemas.microsoft.com/office/drawing/2014/main" id="{00000000-0008-0000-0400-00000B100000}"/>
              </a:ext>
            </a:extLst>
          </xdr:cNvPr>
          <xdr:cNvSpPr/>
        </xdr:nvSpPr>
        <xdr:spPr>
          <a:xfrm>
            <a:off x="5796490" y="7090727"/>
            <a:ext cx="1524001" cy="658799"/>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Memory </a:t>
            </a:r>
          </a:p>
        </xdr:txBody>
      </xdr:sp>
    </xdr:grpSp>
    <xdr:clientData/>
  </xdr:twoCellAnchor>
  <xdr:twoCellAnchor>
    <xdr:from>
      <xdr:col>2</xdr:col>
      <xdr:colOff>582084</xdr:colOff>
      <xdr:row>22</xdr:row>
      <xdr:rowOff>109148</xdr:rowOff>
    </xdr:from>
    <xdr:to>
      <xdr:col>5</xdr:col>
      <xdr:colOff>920750</xdr:colOff>
      <xdr:row>24</xdr:row>
      <xdr:rowOff>4520</xdr:rowOff>
    </xdr:to>
    <xdr:sp macro="" textlink="">
      <xdr:nvSpPr>
        <xdr:cNvPr id="10" name="Rectangle: Rounded Corners 9">
          <a:extLst>
            <a:ext uri="{FF2B5EF4-FFF2-40B4-BE49-F238E27FC236}">
              <a16:creationId xmlns:a16="http://schemas.microsoft.com/office/drawing/2014/main" id="{00000000-0008-0000-0400-00000A000000}"/>
            </a:ext>
          </a:extLst>
        </xdr:cNvPr>
        <xdr:cNvSpPr/>
      </xdr:nvSpPr>
      <xdr:spPr>
        <a:xfrm>
          <a:off x="4296834" y="8374731"/>
          <a:ext cx="5916083" cy="54095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2800" b="1" kern="1200">
              <a:solidFill>
                <a:schemeClr val="accent2">
                  <a:lumMod val="75000"/>
                </a:schemeClr>
              </a:solidFill>
              <a:latin typeface="ADLaM Display" panose="02010000000000000000" pitchFamily="2" charset="0"/>
              <a:ea typeface="ADLaM Display" panose="02010000000000000000" pitchFamily="2" charset="0"/>
              <a:cs typeface="ADLaM Display" panose="02010000000000000000" pitchFamily="2" charset="0"/>
            </a:rPr>
            <a:t>Country-wise Product Availability </a:t>
          </a:r>
        </a:p>
      </xdr:txBody>
    </xdr:sp>
    <xdr:clientData/>
  </xdr:twoCellAnchor>
  <xdr:twoCellAnchor>
    <xdr:from>
      <xdr:col>4</xdr:col>
      <xdr:colOff>171450</xdr:colOff>
      <xdr:row>1048575</xdr:row>
      <xdr:rowOff>142875</xdr:rowOff>
    </xdr:from>
    <xdr:to>
      <xdr:col>8</xdr:col>
      <xdr:colOff>171450</xdr:colOff>
      <xdr:row>1048575</xdr:row>
      <xdr:rowOff>152400</xdr:rowOff>
    </xdr:to>
    <xdr:cxnSp macro="">
      <xdr:nvCxnSpPr>
        <xdr:cNvPr id="52" name="Straight Connector 51">
          <a:extLst>
            <a:ext uri="{FF2B5EF4-FFF2-40B4-BE49-F238E27FC236}">
              <a16:creationId xmlns:a16="http://schemas.microsoft.com/office/drawing/2014/main" id="{00000000-0008-0000-0400-000034000000}"/>
            </a:ext>
          </a:extLst>
        </xdr:cNvPr>
        <xdr:cNvCxnSpPr/>
      </xdr:nvCxnSpPr>
      <xdr:spPr>
        <a:xfrm flipV="1">
          <a:off x="6791325" y="14839950"/>
          <a:ext cx="7048500"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26</xdr:row>
      <xdr:rowOff>31750</xdr:rowOff>
    </xdr:from>
    <xdr:to>
      <xdr:col>1</xdr:col>
      <xdr:colOff>21167</xdr:colOff>
      <xdr:row>48</xdr:row>
      <xdr:rowOff>10583</xdr:rowOff>
    </xdr:to>
    <xdr:cxnSp macro="">
      <xdr:nvCxnSpPr>
        <xdr:cNvPr id="56" name="Straight Connector 55">
          <a:extLst>
            <a:ext uri="{FF2B5EF4-FFF2-40B4-BE49-F238E27FC236}">
              <a16:creationId xmlns:a16="http://schemas.microsoft.com/office/drawing/2014/main" id="{00000000-0008-0000-0400-000038000000}"/>
            </a:ext>
          </a:extLst>
        </xdr:cNvPr>
        <xdr:cNvCxnSpPr/>
      </xdr:nvCxnSpPr>
      <xdr:spPr>
        <a:xfrm flipH="1">
          <a:off x="1016000" y="9556750"/>
          <a:ext cx="21167" cy="8636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27</xdr:row>
      <xdr:rowOff>359834</xdr:rowOff>
    </xdr:from>
    <xdr:to>
      <xdr:col>5</xdr:col>
      <xdr:colOff>0</xdr:colOff>
      <xdr:row>28</xdr:row>
      <xdr:rowOff>0</xdr:rowOff>
    </xdr:to>
    <xdr:cxnSp macro="">
      <xdr:nvCxnSpPr>
        <xdr:cNvPr id="4114" name="Straight Connector 4113">
          <a:extLst>
            <a:ext uri="{FF2B5EF4-FFF2-40B4-BE49-F238E27FC236}">
              <a16:creationId xmlns:a16="http://schemas.microsoft.com/office/drawing/2014/main" id="{00000000-0008-0000-0400-000012100000}"/>
            </a:ext>
          </a:extLst>
        </xdr:cNvPr>
        <xdr:cNvCxnSpPr/>
      </xdr:nvCxnSpPr>
      <xdr:spPr>
        <a:xfrm flipV="1">
          <a:off x="1016000" y="10541001"/>
          <a:ext cx="8276167" cy="211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978322</xdr:colOff>
      <xdr:row>47</xdr:row>
      <xdr:rowOff>370416</xdr:rowOff>
    </xdr:from>
    <xdr:to>
      <xdr:col>4</xdr:col>
      <xdr:colOff>1947333</xdr:colOff>
      <xdr:row>48</xdr:row>
      <xdr:rowOff>10583</xdr:rowOff>
    </xdr:to>
    <xdr:cxnSp macro="">
      <xdr:nvCxnSpPr>
        <xdr:cNvPr id="4115" name="Straight Connector 4114">
          <a:extLst>
            <a:ext uri="{FF2B5EF4-FFF2-40B4-BE49-F238E27FC236}">
              <a16:creationId xmlns:a16="http://schemas.microsoft.com/office/drawing/2014/main" id="{00000000-0008-0000-0400-000013100000}"/>
            </a:ext>
          </a:extLst>
        </xdr:cNvPr>
        <xdr:cNvCxnSpPr/>
      </xdr:nvCxnSpPr>
      <xdr:spPr>
        <a:xfrm>
          <a:off x="978322" y="18171583"/>
          <a:ext cx="8303261" cy="2116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21167</xdr:colOff>
      <xdr:row>36</xdr:row>
      <xdr:rowOff>356659</xdr:rowOff>
    </xdr:from>
    <xdr:to>
      <xdr:col>5</xdr:col>
      <xdr:colOff>50800</xdr:colOff>
      <xdr:row>36</xdr:row>
      <xdr:rowOff>370416</xdr:rowOff>
    </xdr:to>
    <xdr:cxnSp macro="">
      <xdr:nvCxnSpPr>
        <xdr:cNvPr id="4131" name="Straight Connector 4130">
          <a:extLst>
            <a:ext uri="{FF2B5EF4-FFF2-40B4-BE49-F238E27FC236}">
              <a16:creationId xmlns:a16="http://schemas.microsoft.com/office/drawing/2014/main" id="{00000000-0008-0000-0400-000023100000}"/>
            </a:ext>
          </a:extLst>
        </xdr:cNvPr>
        <xdr:cNvCxnSpPr/>
      </xdr:nvCxnSpPr>
      <xdr:spPr>
        <a:xfrm flipV="1">
          <a:off x="1037167" y="14189076"/>
          <a:ext cx="8305800" cy="1375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xdr:colOff>
      <xdr:row>38</xdr:row>
      <xdr:rowOff>17991</xdr:rowOff>
    </xdr:from>
    <xdr:to>
      <xdr:col>5</xdr:col>
      <xdr:colOff>21166</xdr:colOff>
      <xdr:row>38</xdr:row>
      <xdr:rowOff>21166</xdr:rowOff>
    </xdr:to>
    <xdr:cxnSp macro="">
      <xdr:nvCxnSpPr>
        <xdr:cNvPr id="4132" name="Straight Connector 4131">
          <a:extLst>
            <a:ext uri="{FF2B5EF4-FFF2-40B4-BE49-F238E27FC236}">
              <a16:creationId xmlns:a16="http://schemas.microsoft.com/office/drawing/2014/main" id="{00000000-0008-0000-0400-000024100000}"/>
            </a:ext>
          </a:extLst>
        </xdr:cNvPr>
        <xdr:cNvCxnSpPr/>
      </xdr:nvCxnSpPr>
      <xdr:spPr>
        <a:xfrm>
          <a:off x="1022350" y="14612408"/>
          <a:ext cx="8290983" cy="31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7408</xdr:colOff>
      <xdr:row>38</xdr:row>
      <xdr:rowOff>375709</xdr:rowOff>
    </xdr:from>
    <xdr:to>
      <xdr:col>5</xdr:col>
      <xdr:colOff>21166</xdr:colOff>
      <xdr:row>39</xdr:row>
      <xdr:rowOff>0</xdr:rowOff>
    </xdr:to>
    <xdr:cxnSp macro="">
      <xdr:nvCxnSpPr>
        <xdr:cNvPr id="4133" name="Straight Connector 4132">
          <a:extLst>
            <a:ext uri="{FF2B5EF4-FFF2-40B4-BE49-F238E27FC236}">
              <a16:creationId xmlns:a16="http://schemas.microsoft.com/office/drawing/2014/main" id="{00000000-0008-0000-0400-000025100000}"/>
            </a:ext>
          </a:extLst>
        </xdr:cNvPr>
        <xdr:cNvCxnSpPr/>
      </xdr:nvCxnSpPr>
      <xdr:spPr>
        <a:xfrm>
          <a:off x="1023408" y="14970126"/>
          <a:ext cx="8289925" cy="529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4233</xdr:colOff>
      <xdr:row>39</xdr:row>
      <xdr:rowOff>359833</xdr:rowOff>
    </xdr:from>
    <xdr:to>
      <xdr:col>5</xdr:col>
      <xdr:colOff>10583</xdr:colOff>
      <xdr:row>39</xdr:row>
      <xdr:rowOff>377825</xdr:rowOff>
    </xdr:to>
    <xdr:cxnSp macro="">
      <xdr:nvCxnSpPr>
        <xdr:cNvPr id="4134" name="Straight Connector 4133">
          <a:extLst>
            <a:ext uri="{FF2B5EF4-FFF2-40B4-BE49-F238E27FC236}">
              <a16:creationId xmlns:a16="http://schemas.microsoft.com/office/drawing/2014/main" id="{00000000-0008-0000-0400-000026100000}"/>
            </a:ext>
          </a:extLst>
        </xdr:cNvPr>
        <xdr:cNvCxnSpPr/>
      </xdr:nvCxnSpPr>
      <xdr:spPr>
        <a:xfrm flipV="1">
          <a:off x="1020233" y="15335250"/>
          <a:ext cx="8282517" cy="1799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7408</xdr:colOff>
      <xdr:row>40</xdr:row>
      <xdr:rowOff>379942</xdr:rowOff>
    </xdr:from>
    <xdr:to>
      <xdr:col>5</xdr:col>
      <xdr:colOff>31750</xdr:colOff>
      <xdr:row>41</xdr:row>
      <xdr:rowOff>21166</xdr:rowOff>
    </xdr:to>
    <xdr:cxnSp macro="">
      <xdr:nvCxnSpPr>
        <xdr:cNvPr id="4135" name="Straight Connector 4134">
          <a:extLst>
            <a:ext uri="{FF2B5EF4-FFF2-40B4-BE49-F238E27FC236}">
              <a16:creationId xmlns:a16="http://schemas.microsoft.com/office/drawing/2014/main" id="{00000000-0008-0000-0400-000027100000}"/>
            </a:ext>
          </a:extLst>
        </xdr:cNvPr>
        <xdr:cNvCxnSpPr/>
      </xdr:nvCxnSpPr>
      <xdr:spPr>
        <a:xfrm>
          <a:off x="1023408" y="15736359"/>
          <a:ext cx="8300509" cy="2222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xdr:colOff>
      <xdr:row>35</xdr:row>
      <xdr:rowOff>10584</xdr:rowOff>
    </xdr:from>
    <xdr:to>
      <xdr:col>5</xdr:col>
      <xdr:colOff>21166</xdr:colOff>
      <xdr:row>35</xdr:row>
      <xdr:rowOff>21167</xdr:rowOff>
    </xdr:to>
    <xdr:cxnSp macro="">
      <xdr:nvCxnSpPr>
        <xdr:cNvPr id="4136" name="Straight Connector 4135">
          <a:extLst>
            <a:ext uri="{FF2B5EF4-FFF2-40B4-BE49-F238E27FC236}">
              <a16:creationId xmlns:a16="http://schemas.microsoft.com/office/drawing/2014/main" id="{00000000-0008-0000-0400-000028100000}"/>
            </a:ext>
          </a:extLst>
        </xdr:cNvPr>
        <xdr:cNvCxnSpPr/>
      </xdr:nvCxnSpPr>
      <xdr:spPr>
        <a:xfrm flipV="1">
          <a:off x="1079500" y="13324417"/>
          <a:ext cx="8233833" cy="1058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xdr:row>
      <xdr:rowOff>0</xdr:rowOff>
    </xdr:from>
    <xdr:to>
      <xdr:col>5</xdr:col>
      <xdr:colOff>42333</xdr:colOff>
      <xdr:row>42</xdr:row>
      <xdr:rowOff>10583</xdr:rowOff>
    </xdr:to>
    <xdr:cxnSp macro="">
      <xdr:nvCxnSpPr>
        <xdr:cNvPr id="4138" name="Straight Connector 4137">
          <a:extLst>
            <a:ext uri="{FF2B5EF4-FFF2-40B4-BE49-F238E27FC236}">
              <a16:creationId xmlns:a16="http://schemas.microsoft.com/office/drawing/2014/main" id="{00000000-0008-0000-0400-00002A100000}"/>
            </a:ext>
          </a:extLst>
        </xdr:cNvPr>
        <xdr:cNvCxnSpPr/>
      </xdr:nvCxnSpPr>
      <xdr:spPr>
        <a:xfrm>
          <a:off x="1016000" y="16118417"/>
          <a:ext cx="8318500" cy="1058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10583</xdr:colOff>
      <xdr:row>46</xdr:row>
      <xdr:rowOff>359834</xdr:rowOff>
    </xdr:from>
    <xdr:to>
      <xdr:col>5</xdr:col>
      <xdr:colOff>0</xdr:colOff>
      <xdr:row>46</xdr:row>
      <xdr:rowOff>370416</xdr:rowOff>
    </xdr:to>
    <xdr:cxnSp macro="">
      <xdr:nvCxnSpPr>
        <xdr:cNvPr id="4152" name="Straight Connector 4151">
          <a:extLst>
            <a:ext uri="{FF2B5EF4-FFF2-40B4-BE49-F238E27FC236}">
              <a16:creationId xmlns:a16="http://schemas.microsoft.com/office/drawing/2014/main" id="{00000000-0008-0000-0400-000038100000}"/>
            </a:ext>
          </a:extLst>
        </xdr:cNvPr>
        <xdr:cNvCxnSpPr/>
      </xdr:nvCxnSpPr>
      <xdr:spPr>
        <a:xfrm flipV="1">
          <a:off x="1026583" y="17780001"/>
          <a:ext cx="8265584" cy="1058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4233</xdr:colOff>
      <xdr:row>36</xdr:row>
      <xdr:rowOff>8467</xdr:rowOff>
    </xdr:from>
    <xdr:to>
      <xdr:col>5</xdr:col>
      <xdr:colOff>52916</xdr:colOff>
      <xdr:row>36</xdr:row>
      <xdr:rowOff>42333</xdr:rowOff>
    </xdr:to>
    <xdr:cxnSp macro="">
      <xdr:nvCxnSpPr>
        <xdr:cNvPr id="4153" name="Straight Connector 4152">
          <a:extLst>
            <a:ext uri="{FF2B5EF4-FFF2-40B4-BE49-F238E27FC236}">
              <a16:creationId xmlns:a16="http://schemas.microsoft.com/office/drawing/2014/main" id="{00000000-0008-0000-0400-000039100000}"/>
            </a:ext>
          </a:extLst>
        </xdr:cNvPr>
        <xdr:cNvCxnSpPr/>
      </xdr:nvCxnSpPr>
      <xdr:spPr>
        <a:xfrm>
          <a:off x="1020233" y="13840884"/>
          <a:ext cx="8324850" cy="338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xdr:colOff>
      <xdr:row>29</xdr:row>
      <xdr:rowOff>8467</xdr:rowOff>
    </xdr:from>
    <xdr:to>
      <xdr:col>5</xdr:col>
      <xdr:colOff>21166</xdr:colOff>
      <xdr:row>29</xdr:row>
      <xdr:rowOff>10583</xdr:rowOff>
    </xdr:to>
    <xdr:cxnSp macro="">
      <xdr:nvCxnSpPr>
        <xdr:cNvPr id="4154" name="Straight Connector 4153">
          <a:extLst>
            <a:ext uri="{FF2B5EF4-FFF2-40B4-BE49-F238E27FC236}">
              <a16:creationId xmlns:a16="http://schemas.microsoft.com/office/drawing/2014/main" id="{00000000-0008-0000-0400-00003A100000}"/>
            </a:ext>
          </a:extLst>
        </xdr:cNvPr>
        <xdr:cNvCxnSpPr/>
      </xdr:nvCxnSpPr>
      <xdr:spPr>
        <a:xfrm>
          <a:off x="1016001" y="10951634"/>
          <a:ext cx="8297332" cy="211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10583</xdr:colOff>
      <xdr:row>29</xdr:row>
      <xdr:rowOff>370416</xdr:rowOff>
    </xdr:from>
    <xdr:to>
      <xdr:col>5</xdr:col>
      <xdr:colOff>21166</xdr:colOff>
      <xdr:row>30</xdr:row>
      <xdr:rowOff>10583</xdr:rowOff>
    </xdr:to>
    <xdr:cxnSp macro="">
      <xdr:nvCxnSpPr>
        <xdr:cNvPr id="4155" name="Straight Connector 4154">
          <a:extLst>
            <a:ext uri="{FF2B5EF4-FFF2-40B4-BE49-F238E27FC236}">
              <a16:creationId xmlns:a16="http://schemas.microsoft.com/office/drawing/2014/main" id="{00000000-0008-0000-0400-00003B100000}"/>
            </a:ext>
          </a:extLst>
        </xdr:cNvPr>
        <xdr:cNvCxnSpPr/>
      </xdr:nvCxnSpPr>
      <xdr:spPr>
        <a:xfrm flipV="1">
          <a:off x="1026583" y="11313583"/>
          <a:ext cx="8286750" cy="2116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7408</xdr:colOff>
      <xdr:row>32</xdr:row>
      <xdr:rowOff>349250</xdr:rowOff>
    </xdr:from>
    <xdr:to>
      <xdr:col>5</xdr:col>
      <xdr:colOff>10583</xdr:colOff>
      <xdr:row>33</xdr:row>
      <xdr:rowOff>2116</xdr:rowOff>
    </xdr:to>
    <xdr:cxnSp macro="">
      <xdr:nvCxnSpPr>
        <xdr:cNvPr id="4156" name="Straight Connector 4155">
          <a:extLst>
            <a:ext uri="{FF2B5EF4-FFF2-40B4-BE49-F238E27FC236}">
              <a16:creationId xmlns:a16="http://schemas.microsoft.com/office/drawing/2014/main" id="{00000000-0008-0000-0400-00003C100000}"/>
            </a:ext>
          </a:extLst>
        </xdr:cNvPr>
        <xdr:cNvCxnSpPr/>
      </xdr:nvCxnSpPr>
      <xdr:spPr>
        <a:xfrm flipV="1">
          <a:off x="1023408" y="12435417"/>
          <a:ext cx="8279342" cy="3386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30</xdr:row>
      <xdr:rowOff>370416</xdr:rowOff>
    </xdr:from>
    <xdr:to>
      <xdr:col>5</xdr:col>
      <xdr:colOff>0</xdr:colOff>
      <xdr:row>31</xdr:row>
      <xdr:rowOff>0</xdr:rowOff>
    </xdr:to>
    <xdr:cxnSp macro="">
      <xdr:nvCxnSpPr>
        <xdr:cNvPr id="4158" name="Straight Connector 4157">
          <a:extLst>
            <a:ext uri="{FF2B5EF4-FFF2-40B4-BE49-F238E27FC236}">
              <a16:creationId xmlns:a16="http://schemas.microsoft.com/office/drawing/2014/main" id="{00000000-0008-0000-0400-00003E100000}"/>
            </a:ext>
          </a:extLst>
        </xdr:cNvPr>
        <xdr:cNvCxnSpPr/>
      </xdr:nvCxnSpPr>
      <xdr:spPr>
        <a:xfrm flipV="1">
          <a:off x="1016000" y="11694583"/>
          <a:ext cx="8276167" cy="1058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10583</xdr:colOff>
      <xdr:row>32</xdr:row>
      <xdr:rowOff>8467</xdr:rowOff>
    </xdr:from>
    <xdr:to>
      <xdr:col>5</xdr:col>
      <xdr:colOff>10583</xdr:colOff>
      <xdr:row>32</xdr:row>
      <xdr:rowOff>10583</xdr:rowOff>
    </xdr:to>
    <xdr:cxnSp macro="">
      <xdr:nvCxnSpPr>
        <xdr:cNvPr id="4159" name="Straight Connector 4158">
          <a:extLst>
            <a:ext uri="{FF2B5EF4-FFF2-40B4-BE49-F238E27FC236}">
              <a16:creationId xmlns:a16="http://schemas.microsoft.com/office/drawing/2014/main" id="{00000000-0008-0000-0400-00003F100000}"/>
            </a:ext>
          </a:extLst>
        </xdr:cNvPr>
        <xdr:cNvCxnSpPr/>
      </xdr:nvCxnSpPr>
      <xdr:spPr>
        <a:xfrm>
          <a:off x="1026583" y="12094634"/>
          <a:ext cx="8276167" cy="211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26</xdr:row>
      <xdr:rowOff>190503</xdr:rowOff>
    </xdr:from>
    <xdr:to>
      <xdr:col>1</xdr:col>
      <xdr:colOff>21167</xdr:colOff>
      <xdr:row>26</xdr:row>
      <xdr:rowOff>476251</xdr:rowOff>
    </xdr:to>
    <xdr:sp macro="" textlink="">
      <xdr:nvSpPr>
        <xdr:cNvPr id="3084" name="Arrow: Pentagon 3083">
          <a:extLst>
            <a:ext uri="{FF2B5EF4-FFF2-40B4-BE49-F238E27FC236}">
              <a16:creationId xmlns:a16="http://schemas.microsoft.com/office/drawing/2014/main" id="{00000000-0008-0000-0400-00000C0C0000}"/>
            </a:ext>
          </a:extLst>
        </xdr:cNvPr>
        <xdr:cNvSpPr/>
      </xdr:nvSpPr>
      <xdr:spPr>
        <a:xfrm>
          <a:off x="0" y="9715503"/>
          <a:ext cx="1037167" cy="285748"/>
        </a:xfrm>
        <a:prstGeom prst="homePlate">
          <a:avLst/>
        </a:prstGeom>
        <a:solidFill>
          <a:srgbClr val="3F9D9F"/>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100" b="1" kern="1200">
              <a:solidFill>
                <a:schemeClr val="accent6">
                  <a:lumMod val="75000"/>
                </a:schemeClr>
              </a:solidFill>
              <a:latin typeface="Aharoni" panose="02010803020104030203" pitchFamily="2" charset="-79"/>
              <a:ea typeface="ADLaM Display" panose="02010000000000000000" pitchFamily="2" charset="0"/>
              <a:cs typeface="Aharoni" panose="02010803020104030203" pitchFamily="2" charset="-79"/>
            </a:rPr>
            <a:t>Availablity</a:t>
          </a:r>
        </a:p>
      </xdr:txBody>
    </xdr:sp>
    <xdr:clientData/>
  </xdr:twoCellAnchor>
  <xdr:twoCellAnchor>
    <xdr:from>
      <xdr:col>1</xdr:col>
      <xdr:colOff>21167</xdr:colOff>
      <xdr:row>3</xdr:row>
      <xdr:rowOff>78651</xdr:rowOff>
    </xdr:from>
    <xdr:to>
      <xdr:col>10</xdr:col>
      <xdr:colOff>1607607</xdr:colOff>
      <xdr:row>7</xdr:row>
      <xdr:rowOff>87299</xdr:rowOff>
    </xdr:to>
    <xdr:grpSp>
      <xdr:nvGrpSpPr>
        <xdr:cNvPr id="1026" name="Group 1025">
          <a:extLst>
            <a:ext uri="{FF2B5EF4-FFF2-40B4-BE49-F238E27FC236}">
              <a16:creationId xmlns:a16="http://schemas.microsoft.com/office/drawing/2014/main" id="{00000000-0008-0000-0400-000002040000}"/>
            </a:ext>
          </a:extLst>
        </xdr:cNvPr>
        <xdr:cNvGrpSpPr/>
      </xdr:nvGrpSpPr>
      <xdr:grpSpPr>
        <a:xfrm>
          <a:off x="1037167" y="1084068"/>
          <a:ext cx="18996023" cy="675398"/>
          <a:chOff x="1037167" y="1084068"/>
          <a:chExt cx="18996023" cy="675398"/>
        </a:xfrm>
      </xdr:grpSpPr>
      <xdr:sp macro="" textlink="">
        <xdr:nvSpPr>
          <xdr:cNvPr id="20" name="Rectangle: Rounded Corners 19">
            <a:extLst>
              <a:ext uri="{FF2B5EF4-FFF2-40B4-BE49-F238E27FC236}">
                <a16:creationId xmlns:a16="http://schemas.microsoft.com/office/drawing/2014/main" id="{00000000-0008-0000-0400-000014000000}"/>
              </a:ext>
            </a:extLst>
          </xdr:cNvPr>
          <xdr:cNvSpPr/>
        </xdr:nvSpPr>
        <xdr:spPr>
          <a:xfrm>
            <a:off x="9347686" y="1090082"/>
            <a:ext cx="2818615" cy="658800"/>
          </a:xfrm>
          <a:prstGeom prst="roundRect">
            <a:avLst>
              <a:gd name="adj" fmla="val 14922"/>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400" b="1" kern="1200" noProof="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Stringent Regulatory Approvals</a:t>
            </a:r>
          </a:p>
        </xdr:txBody>
      </xdr:sp>
      <xdr:sp macro="" textlink="">
        <xdr:nvSpPr>
          <xdr:cNvPr id="21" name="Rectangle: Rounded Corners 20">
            <a:extLst>
              <a:ext uri="{FF2B5EF4-FFF2-40B4-BE49-F238E27FC236}">
                <a16:creationId xmlns:a16="http://schemas.microsoft.com/office/drawing/2014/main" id="{00000000-0008-0000-0400-000015000000}"/>
              </a:ext>
            </a:extLst>
          </xdr:cNvPr>
          <xdr:cNvSpPr/>
        </xdr:nvSpPr>
        <xdr:spPr>
          <a:xfrm>
            <a:off x="1037167" y="1084068"/>
            <a:ext cx="2656418"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Traceable/</a:t>
            </a:r>
          </a:p>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Certifications</a:t>
            </a:r>
          </a:p>
        </xdr:txBody>
      </xdr:sp>
      <xdr:sp macro="" textlink="">
        <xdr:nvSpPr>
          <xdr:cNvPr id="22" name="Rectangle: Rounded Corners 21">
            <a:extLst>
              <a:ext uri="{FF2B5EF4-FFF2-40B4-BE49-F238E27FC236}">
                <a16:creationId xmlns:a16="http://schemas.microsoft.com/office/drawing/2014/main" id="{00000000-0008-0000-0400-000016000000}"/>
              </a:ext>
            </a:extLst>
          </xdr:cNvPr>
          <xdr:cNvSpPr/>
        </xdr:nvSpPr>
        <xdr:spPr>
          <a:xfrm>
            <a:off x="5799381" y="1085934"/>
            <a:ext cx="1478492"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Method</a:t>
            </a:r>
          </a:p>
        </xdr:txBody>
      </xdr:sp>
      <xdr:sp macro="" textlink="">
        <xdr:nvSpPr>
          <xdr:cNvPr id="28" name="Rectangle: Rounded Corners 27">
            <a:extLst>
              <a:ext uri="{FF2B5EF4-FFF2-40B4-BE49-F238E27FC236}">
                <a16:creationId xmlns:a16="http://schemas.microsoft.com/office/drawing/2014/main" id="{00000000-0008-0000-0400-00001C000000}"/>
              </a:ext>
            </a:extLst>
          </xdr:cNvPr>
          <xdr:cNvSpPr/>
        </xdr:nvSpPr>
        <xdr:spPr>
          <a:xfrm>
            <a:off x="7342817" y="1091141"/>
            <a:ext cx="1939925"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Test design</a:t>
            </a:r>
          </a:p>
        </xdr:txBody>
      </xdr:sp>
      <xdr:sp macro="" textlink="">
        <xdr:nvSpPr>
          <xdr:cNvPr id="31" name="Rectangle: Rounded Corners 30">
            <a:extLst>
              <a:ext uri="{FF2B5EF4-FFF2-40B4-BE49-F238E27FC236}">
                <a16:creationId xmlns:a16="http://schemas.microsoft.com/office/drawing/2014/main" id="{00000000-0008-0000-0400-00001F000000}"/>
              </a:ext>
            </a:extLst>
          </xdr:cNvPr>
          <xdr:cNvSpPr/>
        </xdr:nvSpPr>
        <xdr:spPr>
          <a:xfrm>
            <a:off x="12231245" y="1100666"/>
            <a:ext cx="1474834"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Device design</a:t>
            </a:r>
          </a:p>
        </xdr:txBody>
      </xdr:sp>
      <xdr:sp macro="" textlink="">
        <xdr:nvSpPr>
          <xdr:cNvPr id="32" name="Rectangle: Rounded Corners 31">
            <a:extLst>
              <a:ext uri="{FF2B5EF4-FFF2-40B4-BE49-F238E27FC236}">
                <a16:creationId xmlns:a16="http://schemas.microsoft.com/office/drawing/2014/main" id="{00000000-0008-0000-0400-000020000000}"/>
              </a:ext>
            </a:extLst>
          </xdr:cNvPr>
          <xdr:cNvSpPr/>
        </xdr:nvSpPr>
        <xdr:spPr>
          <a:xfrm>
            <a:off x="13771023" y="1090083"/>
            <a:ext cx="1919667"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Dimensions in mm</a:t>
            </a:r>
          </a:p>
        </xdr:txBody>
      </xdr:sp>
      <xdr:sp macro="" textlink="">
        <xdr:nvSpPr>
          <xdr:cNvPr id="34" name="Rectangle: Rounded Corners 33">
            <a:extLst>
              <a:ext uri="{FF2B5EF4-FFF2-40B4-BE49-F238E27FC236}">
                <a16:creationId xmlns:a16="http://schemas.microsoft.com/office/drawing/2014/main" id="{00000000-0008-0000-0400-000022000000}"/>
              </a:ext>
            </a:extLst>
          </xdr:cNvPr>
          <xdr:cNvSpPr/>
        </xdr:nvSpPr>
        <xdr:spPr>
          <a:xfrm>
            <a:off x="18446750" y="1090082"/>
            <a:ext cx="1586440"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2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Device weight(kg)</a:t>
            </a:r>
          </a:p>
        </xdr:txBody>
      </xdr:sp>
      <xdr:sp macro="" textlink="">
        <xdr:nvSpPr>
          <xdr:cNvPr id="39" name="Rectangle: Rounded Corners 38">
            <a:extLst>
              <a:ext uri="{FF2B5EF4-FFF2-40B4-BE49-F238E27FC236}">
                <a16:creationId xmlns:a16="http://schemas.microsoft.com/office/drawing/2014/main" id="{00000000-0008-0000-0400-000027000000}"/>
              </a:ext>
            </a:extLst>
          </xdr:cNvPr>
          <xdr:cNvSpPr/>
        </xdr:nvSpPr>
        <xdr:spPr>
          <a:xfrm>
            <a:off x="15755634" y="1090082"/>
            <a:ext cx="1278195"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Volume</a:t>
            </a:r>
          </a:p>
        </xdr:txBody>
      </xdr:sp>
      <xdr:sp macro="" textlink="">
        <xdr:nvSpPr>
          <xdr:cNvPr id="40" name="Rectangle: Rounded Corners 39">
            <a:extLst>
              <a:ext uri="{FF2B5EF4-FFF2-40B4-BE49-F238E27FC236}">
                <a16:creationId xmlns:a16="http://schemas.microsoft.com/office/drawing/2014/main" id="{00000000-0008-0000-0400-000028000000}"/>
              </a:ext>
            </a:extLst>
          </xdr:cNvPr>
          <xdr:cNvSpPr/>
        </xdr:nvSpPr>
        <xdr:spPr>
          <a:xfrm>
            <a:off x="17098774" y="1090085"/>
            <a:ext cx="1295060"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Duration</a:t>
            </a:r>
          </a:p>
        </xdr:txBody>
      </xdr:sp>
      <xdr:sp macro="" textlink="">
        <xdr:nvSpPr>
          <xdr:cNvPr id="16" name="Rectangle: Rounded Corners 15">
            <a:extLst>
              <a:ext uri="{FF2B5EF4-FFF2-40B4-BE49-F238E27FC236}">
                <a16:creationId xmlns:a16="http://schemas.microsoft.com/office/drawing/2014/main" id="{00000000-0008-0000-0400-000010000000}"/>
              </a:ext>
            </a:extLst>
          </xdr:cNvPr>
          <xdr:cNvSpPr/>
        </xdr:nvSpPr>
        <xdr:spPr>
          <a:xfrm>
            <a:off x="3758529" y="1092296"/>
            <a:ext cx="1975908" cy="658800"/>
          </a:xfrm>
          <a:prstGeom prst="roundRect">
            <a:avLst/>
          </a:prstGeom>
          <a:gradFill>
            <a:gsLst>
              <a:gs pos="11000">
                <a:schemeClr val="tx2">
                  <a:lumMod val="10000"/>
                  <a:lumOff val="90000"/>
                  <a:alpha val="71000"/>
                </a:schemeClr>
              </a:gs>
              <a:gs pos="39000">
                <a:schemeClr val="accent1">
                  <a:lumMod val="20000"/>
                  <a:lumOff val="80000"/>
                </a:schemeClr>
              </a:gs>
              <a:gs pos="69000">
                <a:schemeClr val="bg1">
                  <a:lumMod val="7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rPr>
              <a:t>Manufacturer</a:t>
            </a:r>
          </a:p>
        </xdr:txBody>
      </xdr:sp>
    </xdr:grpSp>
    <xdr:clientData/>
  </xdr:twoCellAnchor>
  <xdr:oneCellAnchor>
    <xdr:from>
      <xdr:col>5</xdr:col>
      <xdr:colOff>2815166</xdr:colOff>
      <xdr:row>27</xdr:row>
      <xdr:rowOff>52914</xdr:rowOff>
    </xdr:from>
    <xdr:ext cx="7831666" cy="9630833"/>
    <xdr:sp macro="" textlink="">
      <xdr:nvSpPr>
        <xdr:cNvPr id="4125" name="TextBox 4124">
          <a:extLst>
            <a:ext uri="{FF2B5EF4-FFF2-40B4-BE49-F238E27FC236}">
              <a16:creationId xmlns:a16="http://schemas.microsoft.com/office/drawing/2014/main" id="{00000000-0008-0000-0400-00001D100000}"/>
            </a:ext>
          </a:extLst>
        </xdr:cNvPr>
        <xdr:cNvSpPr txBox="1"/>
      </xdr:nvSpPr>
      <xdr:spPr>
        <a:xfrm>
          <a:off x="12107333" y="11408831"/>
          <a:ext cx="7831666" cy="9630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IN" sz="1100">
              <a:solidFill>
                <a:schemeClr val="tx1"/>
              </a:solidFill>
              <a:effectLst/>
              <a:latin typeface="+mn-lt"/>
              <a:ea typeface="+mn-ea"/>
              <a:cs typeface="+mn-cs"/>
            </a:rPr>
            <a:t> </a:t>
          </a:r>
          <a:endParaRPr lang="en-IN" sz="1100">
            <a:solidFill>
              <a:schemeClr val="accent1">
                <a:lumMod val="75000"/>
              </a:schemeClr>
            </a:solidFill>
            <a:effectLst/>
            <a:latin typeface="+mn-lt"/>
            <a:ea typeface="+mn-ea"/>
            <a:cs typeface="+mn-cs"/>
          </a:endParaRPr>
        </a:p>
        <a:p>
          <a:pPr algn="ctr"/>
          <a:r>
            <a:rPr lang="en-IN" sz="1600" b="1">
              <a:solidFill>
                <a:srgbClr val="FF0000"/>
              </a:solidFill>
              <a:effectLst/>
              <a:latin typeface="+mn-lt"/>
              <a:ea typeface="+mn-ea"/>
              <a:cs typeface="+mn-cs"/>
            </a:rPr>
            <a:t>Instructions to use the Landscape Analysis Tool</a:t>
          </a:r>
        </a:p>
        <a:p>
          <a:endParaRPr lang="en-IN" sz="1400" b="0">
            <a:solidFill>
              <a:srgbClr val="1FDB1F"/>
            </a:solidFill>
            <a:effectLst/>
            <a:latin typeface="+mn-lt"/>
            <a:ea typeface="+mn-ea"/>
            <a:cs typeface="+mn-cs"/>
          </a:endParaRPr>
        </a:p>
        <a:p>
          <a:endParaRPr lang="en-IN" sz="1100" b="0">
            <a:solidFill>
              <a:schemeClr val="bg1"/>
            </a:solidFill>
            <a:effectLst/>
            <a:latin typeface="+mn-lt"/>
            <a:ea typeface="+mn-ea"/>
            <a:cs typeface="+mn-cs"/>
          </a:endParaRPr>
        </a:p>
        <a:p>
          <a:r>
            <a:rPr lang="en-IN" sz="1200" b="1">
              <a:solidFill>
                <a:schemeClr val="tx1"/>
              </a:solidFill>
              <a:effectLst/>
              <a:latin typeface="+mn-lt"/>
              <a:ea typeface="+mn-ea"/>
              <a:cs typeface="+mn-cs"/>
            </a:rPr>
            <a:t>1. Overview of the Dashboard</a:t>
          </a:r>
          <a:endParaRPr lang="en-IN" sz="1200">
            <a:solidFill>
              <a:schemeClr val="tx1"/>
            </a:solidFill>
            <a:effectLst/>
            <a:latin typeface="+mn-lt"/>
            <a:ea typeface="+mn-ea"/>
            <a:cs typeface="+mn-cs"/>
          </a:endParaRPr>
        </a:p>
        <a:p>
          <a:r>
            <a:rPr lang="en-IN" sz="1200">
              <a:solidFill>
                <a:schemeClr val="tx1"/>
              </a:solidFill>
              <a:effectLst/>
              <a:latin typeface="+mn-lt"/>
              <a:ea typeface="+mn-ea"/>
              <a:cs typeface="+mn-cs"/>
            </a:rPr>
            <a:t>This dashboard allows users to analyse and explore:</a:t>
          </a:r>
        </a:p>
        <a:p>
          <a:pPr marL="171450" lvl="0" indent="-171450">
            <a:buFont typeface="Arial" panose="020B0604020202020204" pitchFamily="34" charset="0"/>
            <a:buChar char="•"/>
          </a:pPr>
          <a:r>
            <a:rPr lang="en-IN" sz="1200">
              <a:solidFill>
                <a:schemeClr val="tx1"/>
              </a:solidFill>
              <a:effectLst/>
              <a:latin typeface="+mn-lt"/>
              <a:ea typeface="+mn-ea"/>
              <a:cs typeface="+mn-cs"/>
            </a:rPr>
            <a:t>The availability of products in different countries.</a:t>
          </a:r>
        </a:p>
        <a:p>
          <a:pPr marL="171450" lvl="0" indent="-171450">
            <a:buFont typeface="Arial" panose="020B0604020202020204" pitchFamily="34" charset="0"/>
            <a:buChar char="•"/>
          </a:pPr>
          <a:r>
            <a:rPr lang="en-IN" sz="1200">
              <a:solidFill>
                <a:schemeClr val="tx1"/>
              </a:solidFill>
              <a:effectLst/>
              <a:latin typeface="+mn-lt"/>
              <a:ea typeface="+mn-ea"/>
              <a:cs typeface="+mn-cs"/>
            </a:rPr>
            <a:t>Equipment types and their associated products.</a:t>
          </a:r>
        </a:p>
        <a:p>
          <a:pPr marL="171450" lvl="0" indent="-171450">
            <a:buFont typeface="Arial" panose="020B0604020202020204" pitchFamily="34" charset="0"/>
            <a:buChar char="•"/>
          </a:pPr>
          <a:r>
            <a:rPr lang="en-IN" sz="1200">
              <a:solidFill>
                <a:schemeClr val="tx1"/>
              </a:solidFill>
              <a:effectLst/>
              <a:latin typeface="+mn-lt"/>
              <a:ea typeface="+mn-ea"/>
              <a:cs typeface="+mn-cs"/>
            </a:rPr>
            <a:t>Features linked to selected products.</a:t>
          </a:r>
        </a:p>
        <a:p>
          <a:pPr marL="171450" lvl="0" indent="-171450">
            <a:buFont typeface="Arial" panose="020B0604020202020204" pitchFamily="34" charset="0"/>
            <a:buChar char="•"/>
          </a:pPr>
          <a:r>
            <a:rPr lang="en-IN" sz="1200">
              <a:solidFill>
                <a:schemeClr val="tx1"/>
              </a:solidFill>
              <a:effectLst/>
              <a:latin typeface="+mn-lt"/>
              <a:ea typeface="+mn-ea"/>
              <a:cs typeface="+mn-cs"/>
            </a:rPr>
            <a:t>A print feature to generate reports based on selected filters.</a:t>
          </a:r>
        </a:p>
        <a:p>
          <a:r>
            <a:rPr lang="en-IN" sz="1200">
              <a:solidFill>
                <a:schemeClr val="tx1"/>
              </a:solidFill>
              <a:effectLst/>
              <a:latin typeface="+mn-lt"/>
              <a:ea typeface="+mn-ea"/>
              <a:cs typeface="+mn-cs"/>
            </a:rPr>
            <a:t>For the best experience, use the dashboard in </a:t>
          </a:r>
          <a:r>
            <a:rPr lang="en-IN" sz="1200" b="1">
              <a:solidFill>
                <a:schemeClr val="tx1"/>
              </a:solidFill>
              <a:effectLst/>
              <a:latin typeface="+mn-lt"/>
              <a:ea typeface="+mn-ea"/>
              <a:cs typeface="+mn-cs"/>
            </a:rPr>
            <a:t>full-screen mode</a:t>
          </a:r>
          <a:r>
            <a:rPr lang="en-IN" sz="1200">
              <a:solidFill>
                <a:schemeClr val="tx1"/>
              </a:solidFill>
              <a:effectLst/>
              <a:latin typeface="+mn-lt"/>
              <a:ea typeface="+mn-ea"/>
              <a:cs typeface="+mn-cs"/>
            </a:rPr>
            <a:t>.</a:t>
          </a:r>
        </a:p>
        <a:p>
          <a:endParaRPr lang="en-IN" sz="1200" b="1">
            <a:solidFill>
              <a:schemeClr val="tx1"/>
            </a:solidFill>
            <a:effectLst/>
            <a:latin typeface="+mn-lt"/>
            <a:ea typeface="+mn-ea"/>
            <a:cs typeface="+mn-cs"/>
          </a:endParaRPr>
        </a:p>
        <a:p>
          <a:r>
            <a:rPr lang="en-IN" sz="1200" b="1">
              <a:solidFill>
                <a:schemeClr val="tx1"/>
              </a:solidFill>
              <a:effectLst/>
              <a:latin typeface="+mn-lt"/>
              <a:ea typeface="+mn-ea"/>
              <a:cs typeface="+mn-cs"/>
            </a:rPr>
            <a:t>2. Dropdowns in the Dashboard</a:t>
          </a:r>
          <a:endParaRPr lang="en-IN" sz="1200">
            <a:solidFill>
              <a:schemeClr val="tx1"/>
            </a:solidFill>
            <a:effectLst/>
            <a:latin typeface="+mn-lt"/>
            <a:ea typeface="+mn-ea"/>
            <a:cs typeface="+mn-cs"/>
          </a:endParaRPr>
        </a:p>
        <a:p>
          <a:r>
            <a:rPr lang="en-IN" sz="1200">
              <a:solidFill>
                <a:schemeClr val="tx1"/>
              </a:solidFill>
              <a:effectLst/>
              <a:latin typeface="+mn-lt"/>
              <a:ea typeface="+mn-ea"/>
              <a:cs typeface="+mn-cs"/>
            </a:rPr>
            <a:t>The dashboard contains the following dropdown filters:</a:t>
          </a:r>
        </a:p>
        <a:p>
          <a:endParaRPr lang="en-IN" sz="1200">
            <a:solidFill>
              <a:schemeClr val="tx1"/>
            </a:solidFill>
            <a:effectLst/>
            <a:latin typeface="+mn-lt"/>
            <a:ea typeface="+mn-ea"/>
            <a:cs typeface="+mn-cs"/>
          </a:endParaRPr>
        </a:p>
        <a:p>
          <a:r>
            <a:rPr lang="en-IN" sz="1200" b="1">
              <a:solidFill>
                <a:schemeClr val="tx1"/>
              </a:solidFill>
              <a:effectLst/>
              <a:latin typeface="+mn-lt"/>
              <a:ea typeface="+mn-ea"/>
              <a:cs typeface="+mn-cs"/>
            </a:rPr>
            <a:t>1. Type of Equipment Dropdown</a:t>
          </a:r>
          <a:endParaRPr lang="en-IN" sz="1200">
            <a:solidFill>
              <a:schemeClr val="tx1"/>
            </a:solidFill>
            <a:effectLst/>
            <a:latin typeface="+mn-lt"/>
            <a:ea typeface="+mn-ea"/>
            <a:cs typeface="+mn-cs"/>
          </a:endParaRPr>
        </a:p>
        <a:p>
          <a:pPr marL="171450" lvl="0" indent="-171450">
            <a:buFont typeface="Arial" panose="020B0604020202020204" pitchFamily="34" charset="0"/>
            <a:buChar char="•"/>
          </a:pPr>
          <a:r>
            <a:rPr lang="en-IN" sz="1200">
              <a:solidFill>
                <a:schemeClr val="tx1"/>
              </a:solidFill>
              <a:effectLst/>
              <a:latin typeface="+mn-lt"/>
              <a:ea typeface="+mn-ea"/>
              <a:cs typeface="+mn-cs"/>
            </a:rPr>
            <a:t>Select the equipment type to view available products.</a:t>
          </a:r>
        </a:p>
        <a:p>
          <a:pPr marL="171450" lvl="0" indent="-171450">
            <a:buFont typeface="Arial" panose="020B0604020202020204" pitchFamily="34" charset="0"/>
            <a:buChar char="•"/>
          </a:pPr>
          <a:r>
            <a:rPr lang="en-IN" sz="1200">
              <a:solidFill>
                <a:schemeClr val="tx1"/>
              </a:solidFill>
              <a:effectLst/>
              <a:latin typeface="+mn-lt"/>
              <a:ea typeface="+mn-ea"/>
              <a:cs typeface="+mn-cs"/>
            </a:rPr>
            <a:t>The dashboard will update to display relevant product names.</a:t>
          </a:r>
        </a:p>
        <a:p>
          <a:endParaRPr lang="en-IN" sz="1200" b="1">
            <a:solidFill>
              <a:schemeClr val="tx1"/>
            </a:solidFill>
            <a:effectLst/>
            <a:latin typeface="+mn-lt"/>
            <a:ea typeface="+mn-ea"/>
            <a:cs typeface="+mn-cs"/>
          </a:endParaRPr>
        </a:p>
        <a:p>
          <a:r>
            <a:rPr lang="en-IN" sz="1200" b="1">
              <a:solidFill>
                <a:schemeClr val="tx1"/>
              </a:solidFill>
              <a:effectLst/>
              <a:latin typeface="+mn-lt"/>
              <a:ea typeface="+mn-ea"/>
              <a:cs typeface="+mn-cs"/>
            </a:rPr>
            <a:t>2. Product Name Dropdown</a:t>
          </a:r>
          <a:endParaRPr lang="en-IN" sz="1200">
            <a:solidFill>
              <a:schemeClr val="tx1"/>
            </a:solidFill>
            <a:effectLst/>
            <a:latin typeface="+mn-lt"/>
            <a:ea typeface="+mn-ea"/>
            <a:cs typeface="+mn-cs"/>
          </a:endParaRPr>
        </a:p>
        <a:p>
          <a:pPr marL="171450" lvl="0" indent="-171450">
            <a:buFont typeface="Arial" panose="020B0604020202020204" pitchFamily="34" charset="0"/>
            <a:buChar char="•"/>
          </a:pPr>
          <a:r>
            <a:rPr lang="en-IN" sz="1200">
              <a:solidFill>
                <a:schemeClr val="tx1"/>
              </a:solidFill>
              <a:effectLst/>
              <a:latin typeface="+mn-lt"/>
              <a:ea typeface="+mn-ea"/>
              <a:cs typeface="+mn-cs"/>
            </a:rPr>
            <a:t>Choose a specific product from the list.</a:t>
          </a:r>
        </a:p>
        <a:p>
          <a:pPr marL="171450" lvl="0" indent="-171450">
            <a:buFont typeface="Arial" panose="020B0604020202020204" pitchFamily="34" charset="0"/>
            <a:buChar char="•"/>
          </a:pPr>
          <a:r>
            <a:rPr lang="en-IN" sz="1200">
              <a:solidFill>
                <a:schemeClr val="tx1"/>
              </a:solidFill>
              <a:effectLst/>
              <a:latin typeface="+mn-lt"/>
              <a:ea typeface="+mn-ea"/>
              <a:cs typeface="+mn-cs"/>
            </a:rPr>
            <a:t>The dashboard will display the selected product’s details and availability.</a:t>
          </a:r>
        </a:p>
        <a:p>
          <a:pPr lvl="0"/>
          <a:endParaRPr lang="en-IN" sz="1200">
            <a:solidFill>
              <a:schemeClr val="tx1"/>
            </a:solidFill>
            <a:effectLst/>
            <a:latin typeface="+mn-lt"/>
            <a:ea typeface="+mn-ea"/>
            <a:cs typeface="+mn-cs"/>
          </a:endParaRPr>
        </a:p>
        <a:p>
          <a:r>
            <a:rPr lang="en-IN" sz="1200" b="1">
              <a:solidFill>
                <a:schemeClr val="tx1"/>
              </a:solidFill>
              <a:effectLst/>
              <a:latin typeface="+mn-lt"/>
              <a:ea typeface="+mn-ea"/>
              <a:cs typeface="+mn-cs"/>
            </a:rPr>
            <a:t>3. Country Dropdown</a:t>
          </a:r>
          <a:endParaRPr lang="en-IN" sz="1200">
            <a:solidFill>
              <a:schemeClr val="tx1"/>
            </a:solidFill>
            <a:effectLst/>
            <a:latin typeface="+mn-lt"/>
            <a:ea typeface="+mn-ea"/>
            <a:cs typeface="+mn-cs"/>
          </a:endParaRPr>
        </a:p>
        <a:p>
          <a:pPr marL="171450" lvl="0" indent="-171450">
            <a:buFont typeface="Arial" panose="020B0604020202020204" pitchFamily="34" charset="0"/>
            <a:buChar char="•"/>
          </a:pPr>
          <a:r>
            <a:rPr lang="en-IN" sz="1200">
              <a:solidFill>
                <a:schemeClr val="tx1"/>
              </a:solidFill>
              <a:effectLst/>
              <a:latin typeface="+mn-lt"/>
              <a:ea typeface="+mn-ea"/>
              <a:cs typeface="+mn-cs"/>
            </a:rPr>
            <a:t>Select a country to check which products are available in that region.</a:t>
          </a:r>
        </a:p>
        <a:p>
          <a:pPr marL="171450" lvl="0" indent="-171450">
            <a:buFont typeface="Arial" panose="020B0604020202020204" pitchFamily="34" charset="0"/>
            <a:buChar char="•"/>
          </a:pPr>
          <a:r>
            <a:rPr lang="en-IN" sz="1200">
              <a:solidFill>
                <a:schemeClr val="tx1"/>
              </a:solidFill>
              <a:effectLst/>
              <a:latin typeface="+mn-lt"/>
              <a:ea typeface="+mn-ea"/>
              <a:cs typeface="+mn-cs"/>
            </a:rPr>
            <a:t>If a product is not available in the selected country, it will be indicated by </a:t>
          </a:r>
          <a:r>
            <a:rPr lang="en-IN" sz="1200" b="1">
              <a:solidFill>
                <a:schemeClr val="tx1"/>
              </a:solidFill>
              <a:effectLst/>
              <a:latin typeface="+mn-lt"/>
              <a:ea typeface="+mn-ea"/>
              <a:cs typeface="+mn-cs"/>
            </a:rPr>
            <a:t>“NA”</a:t>
          </a:r>
          <a:endParaRPr lang="en-IN" sz="1200">
            <a:solidFill>
              <a:schemeClr val="tx1"/>
            </a:solidFill>
            <a:effectLst/>
            <a:latin typeface="+mn-lt"/>
            <a:ea typeface="+mn-ea"/>
            <a:cs typeface="+mn-cs"/>
          </a:endParaRPr>
        </a:p>
        <a:p>
          <a:r>
            <a:rPr lang="en-IN" sz="1200">
              <a:solidFill>
                <a:schemeClr val="tx1"/>
              </a:solidFill>
              <a:effectLst/>
              <a:latin typeface="+mn-lt"/>
              <a:ea typeface="+mn-ea"/>
              <a:cs typeface="+mn-cs"/>
            </a:rPr>
            <a:t> </a:t>
          </a:r>
        </a:p>
        <a:p>
          <a:r>
            <a:rPr lang="en-IN" sz="1200" b="1">
              <a:solidFill>
                <a:schemeClr val="tx1"/>
              </a:solidFill>
              <a:effectLst/>
              <a:latin typeface="+mn-lt"/>
              <a:ea typeface="+mn-ea"/>
              <a:cs typeface="+mn-cs"/>
            </a:rPr>
            <a:t>3. Using the Dashboard</a:t>
          </a:r>
        </a:p>
        <a:p>
          <a:endParaRPr lang="en-IN" sz="1200">
            <a:solidFill>
              <a:schemeClr val="tx1"/>
            </a:solidFill>
            <a:effectLst/>
            <a:latin typeface="+mn-lt"/>
            <a:ea typeface="+mn-ea"/>
            <a:cs typeface="+mn-cs"/>
          </a:endParaRPr>
        </a:p>
        <a:p>
          <a:r>
            <a:rPr lang="en-IN" sz="1200" b="1">
              <a:solidFill>
                <a:schemeClr val="tx1"/>
              </a:solidFill>
              <a:effectLst/>
              <a:latin typeface="+mn-lt"/>
              <a:ea typeface="+mn-ea"/>
              <a:cs typeface="+mn-cs"/>
            </a:rPr>
            <a:t>Step 1: Select Equipment Type</a:t>
          </a:r>
          <a:endParaRPr lang="en-IN" sz="1200">
            <a:solidFill>
              <a:schemeClr val="tx1"/>
            </a:solidFill>
            <a:effectLst/>
            <a:latin typeface="+mn-lt"/>
            <a:ea typeface="+mn-ea"/>
            <a:cs typeface="+mn-cs"/>
          </a:endParaRPr>
        </a:p>
        <a:p>
          <a:pPr lvl="0"/>
          <a:r>
            <a:rPr lang="en-IN" sz="1200">
              <a:solidFill>
                <a:schemeClr val="tx1"/>
              </a:solidFill>
              <a:effectLst/>
              <a:latin typeface="+mn-lt"/>
              <a:ea typeface="+mn-ea"/>
              <a:cs typeface="+mn-cs"/>
            </a:rPr>
            <a:t>Use the </a:t>
          </a:r>
          <a:r>
            <a:rPr lang="en-IN" sz="1200" b="1">
              <a:solidFill>
                <a:schemeClr val="tx1"/>
              </a:solidFill>
              <a:effectLst/>
              <a:latin typeface="+mn-lt"/>
              <a:ea typeface="+mn-ea"/>
              <a:cs typeface="+mn-cs"/>
            </a:rPr>
            <a:t>Type of Equipment</a:t>
          </a:r>
          <a:r>
            <a:rPr lang="en-IN" sz="1200">
              <a:solidFill>
                <a:schemeClr val="tx1"/>
              </a:solidFill>
              <a:effectLst/>
              <a:latin typeface="+mn-lt"/>
              <a:ea typeface="+mn-ea"/>
              <a:cs typeface="+mn-cs"/>
            </a:rPr>
            <a:t> dropdown to filter products based on equipment categories.</a:t>
          </a:r>
        </a:p>
        <a:p>
          <a:pPr lvl="0"/>
          <a:endParaRPr lang="en-IN" sz="1200">
            <a:solidFill>
              <a:schemeClr val="tx1"/>
            </a:solidFill>
            <a:effectLst/>
            <a:latin typeface="+mn-lt"/>
            <a:ea typeface="+mn-ea"/>
            <a:cs typeface="+mn-cs"/>
          </a:endParaRPr>
        </a:p>
        <a:p>
          <a:r>
            <a:rPr lang="en-IN" sz="1200" b="1">
              <a:solidFill>
                <a:schemeClr val="tx1"/>
              </a:solidFill>
              <a:effectLst/>
              <a:latin typeface="+mn-lt"/>
              <a:ea typeface="+mn-ea"/>
              <a:cs typeface="+mn-cs"/>
            </a:rPr>
            <a:t>Step 2: Select a Product Name</a:t>
          </a:r>
          <a:endParaRPr lang="en-IN" sz="1200">
            <a:solidFill>
              <a:schemeClr val="tx1"/>
            </a:solidFill>
            <a:effectLst/>
            <a:latin typeface="+mn-lt"/>
            <a:ea typeface="+mn-ea"/>
            <a:cs typeface="+mn-cs"/>
          </a:endParaRPr>
        </a:p>
        <a:p>
          <a:pPr marL="171450" lvl="0" indent="-171450">
            <a:buFont typeface="Arial" panose="020B0604020202020204" pitchFamily="34" charset="0"/>
            <a:buChar char="•"/>
          </a:pPr>
          <a:r>
            <a:rPr lang="en-IN" sz="1200">
              <a:solidFill>
                <a:schemeClr val="tx1"/>
              </a:solidFill>
              <a:effectLst/>
              <a:latin typeface="+mn-lt"/>
              <a:ea typeface="+mn-ea"/>
              <a:cs typeface="+mn-cs"/>
            </a:rPr>
            <a:t>Choose a product from the </a:t>
          </a:r>
          <a:r>
            <a:rPr lang="en-IN" sz="1200" b="1">
              <a:solidFill>
                <a:schemeClr val="tx1"/>
              </a:solidFill>
              <a:effectLst/>
              <a:latin typeface="+mn-lt"/>
              <a:ea typeface="+mn-ea"/>
              <a:cs typeface="+mn-cs"/>
            </a:rPr>
            <a:t>Product Name</a:t>
          </a:r>
          <a:r>
            <a:rPr lang="en-IN" sz="1200">
              <a:solidFill>
                <a:schemeClr val="tx1"/>
              </a:solidFill>
              <a:effectLst/>
              <a:latin typeface="+mn-lt"/>
              <a:ea typeface="+mn-ea"/>
              <a:cs typeface="+mn-cs"/>
            </a:rPr>
            <a:t> dropdown.</a:t>
          </a:r>
        </a:p>
        <a:p>
          <a:pPr marL="171450" lvl="0" indent="-171450">
            <a:buFont typeface="Arial" panose="020B0604020202020204" pitchFamily="34" charset="0"/>
            <a:buChar char="•"/>
          </a:pPr>
          <a:r>
            <a:rPr lang="en-IN" sz="1200">
              <a:solidFill>
                <a:schemeClr val="tx1"/>
              </a:solidFill>
              <a:effectLst/>
              <a:latin typeface="+mn-lt"/>
              <a:ea typeface="+mn-ea"/>
              <a:cs typeface="+mn-cs"/>
            </a:rPr>
            <a:t>The dashboard will display details related to the selected product.</a:t>
          </a:r>
        </a:p>
        <a:p>
          <a:pPr lvl="0"/>
          <a:endParaRPr lang="en-IN" sz="1200">
            <a:solidFill>
              <a:schemeClr val="tx1"/>
            </a:solidFill>
            <a:effectLst/>
            <a:latin typeface="+mn-lt"/>
            <a:ea typeface="+mn-ea"/>
            <a:cs typeface="+mn-cs"/>
          </a:endParaRPr>
        </a:p>
        <a:p>
          <a:r>
            <a:rPr lang="en-IN" sz="1200" b="1">
              <a:solidFill>
                <a:schemeClr val="tx1"/>
              </a:solidFill>
              <a:effectLst/>
              <a:latin typeface="+mn-lt"/>
              <a:ea typeface="+mn-ea"/>
              <a:cs typeface="+mn-cs"/>
            </a:rPr>
            <a:t>Step 3: Select a Country</a:t>
          </a:r>
          <a:endParaRPr lang="en-IN" sz="1200">
            <a:solidFill>
              <a:schemeClr val="tx1"/>
            </a:solidFill>
            <a:effectLst/>
            <a:latin typeface="+mn-lt"/>
            <a:ea typeface="+mn-ea"/>
            <a:cs typeface="+mn-cs"/>
          </a:endParaRPr>
        </a:p>
        <a:p>
          <a:pPr lvl="0"/>
          <a:r>
            <a:rPr lang="en-IN" sz="1200">
              <a:solidFill>
                <a:schemeClr val="tx1"/>
              </a:solidFill>
              <a:effectLst/>
              <a:latin typeface="+mn-lt"/>
              <a:ea typeface="+mn-ea"/>
              <a:cs typeface="+mn-cs"/>
            </a:rPr>
            <a:t>Use the </a:t>
          </a:r>
          <a:r>
            <a:rPr lang="en-IN" sz="1200" b="1">
              <a:solidFill>
                <a:schemeClr val="tx1"/>
              </a:solidFill>
              <a:effectLst/>
              <a:latin typeface="+mn-lt"/>
              <a:ea typeface="+mn-ea"/>
              <a:cs typeface="+mn-cs"/>
            </a:rPr>
            <a:t>Country</a:t>
          </a:r>
          <a:r>
            <a:rPr lang="en-IN" sz="1200">
              <a:solidFill>
                <a:schemeClr val="tx1"/>
              </a:solidFill>
              <a:effectLst/>
              <a:latin typeface="+mn-lt"/>
              <a:ea typeface="+mn-ea"/>
              <a:cs typeface="+mn-cs"/>
            </a:rPr>
            <a:t> dropdown to check the availability of products in a specific country.</a:t>
          </a:r>
        </a:p>
        <a:p>
          <a:pPr lvl="0"/>
          <a:endParaRPr lang="en-IN" sz="1200">
            <a:solidFill>
              <a:schemeClr val="tx1"/>
            </a:solidFill>
            <a:effectLst/>
            <a:latin typeface="+mn-lt"/>
            <a:ea typeface="+mn-ea"/>
            <a:cs typeface="+mn-cs"/>
          </a:endParaRPr>
        </a:p>
        <a:p>
          <a:r>
            <a:rPr lang="en-IN" sz="1200" b="1">
              <a:solidFill>
                <a:schemeClr val="tx1"/>
              </a:solidFill>
              <a:effectLst/>
              <a:latin typeface="+mn-lt"/>
              <a:ea typeface="+mn-ea"/>
              <a:cs typeface="+mn-cs"/>
            </a:rPr>
            <a:t>Step 4: Select Test Type </a:t>
          </a:r>
          <a:endParaRPr lang="en-IN" sz="1200">
            <a:solidFill>
              <a:schemeClr val="tx1"/>
            </a:solidFill>
            <a:effectLst/>
            <a:latin typeface="+mn-lt"/>
            <a:ea typeface="+mn-ea"/>
            <a:cs typeface="+mn-cs"/>
          </a:endParaRPr>
        </a:p>
        <a:p>
          <a:pPr lvl="0"/>
          <a:r>
            <a:rPr lang="en-IN" sz="1200">
              <a:solidFill>
                <a:schemeClr val="tx1"/>
              </a:solidFill>
              <a:effectLst/>
              <a:latin typeface="+mn-lt"/>
              <a:ea typeface="+mn-ea"/>
              <a:cs typeface="+mn-cs"/>
            </a:rPr>
            <a:t>Click </a:t>
          </a:r>
          <a:r>
            <a:rPr lang="en-IN" sz="1200" b="1">
              <a:solidFill>
                <a:schemeClr val="tx1"/>
              </a:solidFill>
              <a:effectLst/>
              <a:latin typeface="+mn-lt"/>
              <a:ea typeface="+mn-ea"/>
              <a:cs typeface="+mn-cs"/>
            </a:rPr>
            <a:t>HbA1C or HbA1c plus Other Test</a:t>
          </a:r>
          <a:r>
            <a:rPr lang="en-IN" sz="1200">
              <a:solidFill>
                <a:schemeClr val="tx1"/>
              </a:solidFill>
              <a:effectLst/>
              <a:latin typeface="+mn-lt"/>
              <a:ea typeface="+mn-ea"/>
              <a:cs typeface="+mn-cs"/>
            </a:rPr>
            <a:t> to filter product availability based on the test type.</a:t>
          </a:r>
        </a:p>
        <a:p>
          <a:pPr lvl="0"/>
          <a:r>
            <a:rPr lang="en-IN" sz="1200">
              <a:solidFill>
                <a:schemeClr val="tx1"/>
              </a:solidFill>
              <a:effectLst/>
              <a:latin typeface="+mn-lt"/>
              <a:ea typeface="+mn-ea"/>
              <a:cs typeface="+mn-cs"/>
            </a:rPr>
            <a:t>The country-wise product list will update dynamically according to the selected test type.</a:t>
          </a:r>
        </a:p>
        <a:p>
          <a:r>
            <a:rPr lang="en-IN" sz="1200">
              <a:solidFill>
                <a:schemeClr val="tx1"/>
              </a:solidFill>
              <a:effectLst/>
              <a:latin typeface="+mn-lt"/>
              <a:ea typeface="+mn-ea"/>
              <a:cs typeface="+mn-cs"/>
            </a:rPr>
            <a:t> </a:t>
          </a:r>
        </a:p>
        <a:p>
          <a:r>
            <a:rPr lang="en-IN" sz="1200" b="1">
              <a:solidFill>
                <a:schemeClr val="tx1"/>
              </a:solidFill>
              <a:effectLst/>
              <a:latin typeface="+mn-lt"/>
              <a:ea typeface="+mn-ea"/>
              <a:cs typeface="+mn-cs"/>
            </a:rPr>
            <a:t>4. Printing the Landscape Tool Report</a:t>
          </a:r>
          <a:endParaRPr lang="en-IN" sz="1200">
            <a:solidFill>
              <a:schemeClr val="tx1"/>
            </a:solidFill>
            <a:effectLst/>
            <a:latin typeface="+mn-lt"/>
            <a:ea typeface="+mn-ea"/>
            <a:cs typeface="+mn-cs"/>
          </a:endParaRPr>
        </a:p>
        <a:p>
          <a:pPr marL="171450" lvl="0" indent="-171450">
            <a:buFont typeface="Arial" panose="020B0604020202020204" pitchFamily="34" charset="0"/>
            <a:buChar char="•"/>
          </a:pPr>
          <a:r>
            <a:rPr lang="en-IN" sz="1200">
              <a:solidFill>
                <a:schemeClr val="tx1"/>
              </a:solidFill>
              <a:effectLst/>
              <a:latin typeface="+mn-lt"/>
              <a:ea typeface="+mn-ea"/>
              <a:cs typeface="+mn-cs"/>
            </a:rPr>
            <a:t>Click the </a:t>
          </a:r>
          <a:r>
            <a:rPr lang="en-IN" sz="1200" b="1">
              <a:solidFill>
                <a:schemeClr val="tx1"/>
              </a:solidFill>
              <a:effectLst/>
              <a:latin typeface="+mn-lt"/>
              <a:ea typeface="+mn-ea"/>
              <a:cs typeface="+mn-cs"/>
            </a:rPr>
            <a:t>Print Button</a:t>
          </a:r>
          <a:r>
            <a:rPr lang="en-IN" sz="1200">
              <a:solidFill>
                <a:schemeClr val="tx1"/>
              </a:solidFill>
              <a:effectLst/>
              <a:latin typeface="+mn-lt"/>
              <a:ea typeface="+mn-ea"/>
              <a:cs typeface="+mn-cs"/>
            </a:rPr>
            <a:t> to generate a PDF report based on the selected filters.</a:t>
          </a:r>
        </a:p>
        <a:p>
          <a:pPr marL="171450" lvl="0" indent="-171450">
            <a:buFont typeface="Arial" panose="020B0604020202020204" pitchFamily="34" charset="0"/>
            <a:buChar char="•"/>
          </a:pPr>
          <a:r>
            <a:rPr lang="en-IN" sz="1200">
              <a:solidFill>
                <a:schemeClr val="tx1"/>
              </a:solidFill>
              <a:effectLst/>
              <a:latin typeface="+mn-lt"/>
              <a:ea typeface="+mn-ea"/>
              <a:cs typeface="+mn-cs"/>
            </a:rPr>
            <a:t>The report will capture the selected </a:t>
          </a:r>
          <a:r>
            <a:rPr lang="en-IN" sz="1200" b="1">
              <a:solidFill>
                <a:schemeClr val="tx1"/>
              </a:solidFill>
              <a:effectLst/>
              <a:latin typeface="+mn-lt"/>
              <a:ea typeface="+mn-ea"/>
              <a:cs typeface="+mn-cs"/>
            </a:rPr>
            <a:t>Equipment Type, Product Name, Country, and Availability Status</a:t>
          </a:r>
          <a:r>
            <a:rPr lang="en-IN" sz="1200">
              <a:solidFill>
                <a:schemeClr val="tx1"/>
              </a:solidFill>
              <a:effectLst/>
              <a:latin typeface="+mn-lt"/>
              <a:ea typeface="+mn-ea"/>
              <a:cs typeface="+mn-cs"/>
            </a:rPr>
            <a:t>.</a:t>
          </a:r>
        </a:p>
        <a:p>
          <a:endParaRPr lang="en-IN" sz="1200" b="1">
            <a:solidFill>
              <a:schemeClr val="tx1"/>
            </a:solidFill>
            <a:effectLst/>
            <a:latin typeface="+mn-lt"/>
            <a:ea typeface="+mn-ea"/>
            <a:cs typeface="+mn-cs"/>
          </a:endParaRPr>
        </a:p>
        <a:p>
          <a:r>
            <a:rPr lang="en-IN" sz="1200" b="1">
              <a:solidFill>
                <a:schemeClr val="tx1"/>
              </a:solidFill>
              <a:effectLst/>
              <a:latin typeface="+mn-lt"/>
              <a:ea typeface="+mn-ea"/>
              <a:cs typeface="+mn-cs"/>
            </a:rPr>
            <a:t>5. Notes for Users</a:t>
          </a:r>
          <a:endParaRPr lang="en-IN" sz="1200">
            <a:solidFill>
              <a:schemeClr val="tx1"/>
            </a:solidFill>
            <a:effectLst/>
            <a:latin typeface="+mn-lt"/>
            <a:ea typeface="+mn-ea"/>
            <a:cs typeface="+mn-cs"/>
          </a:endParaRPr>
        </a:p>
        <a:p>
          <a:pPr marL="171450" lvl="0" indent="-171450">
            <a:buFont typeface="Arial" panose="020B0604020202020204" pitchFamily="34" charset="0"/>
            <a:buChar char="•"/>
          </a:pPr>
          <a:r>
            <a:rPr lang="en-IN" sz="1200" b="1">
              <a:solidFill>
                <a:schemeClr val="tx1"/>
              </a:solidFill>
              <a:effectLst/>
              <a:latin typeface="+mn-lt"/>
              <a:ea typeface="+mn-ea"/>
              <a:cs typeface="+mn-cs"/>
            </a:rPr>
            <a:t>Reset Filters:</a:t>
          </a:r>
          <a:r>
            <a:rPr lang="en-IN" sz="1200">
              <a:solidFill>
                <a:schemeClr val="tx1"/>
              </a:solidFill>
              <a:effectLst/>
              <a:latin typeface="+mn-lt"/>
              <a:ea typeface="+mn-ea"/>
              <a:cs typeface="+mn-cs"/>
            </a:rPr>
            <a:t> To explore other products, simply change the selections in the dropdowns.</a:t>
          </a:r>
        </a:p>
        <a:p>
          <a:pPr marL="171450" lvl="0" indent="-171450">
            <a:buFont typeface="Arial" panose="020B0604020202020204" pitchFamily="34" charset="0"/>
            <a:buChar char="•"/>
          </a:pPr>
          <a:r>
            <a:rPr lang="en-IN" sz="1200">
              <a:solidFill>
                <a:schemeClr val="tx1"/>
              </a:solidFill>
              <a:effectLst/>
              <a:latin typeface="+mn-lt"/>
              <a:ea typeface="+mn-ea"/>
              <a:cs typeface="+mn-cs"/>
            </a:rPr>
            <a:t>The indication of </a:t>
          </a:r>
          <a:r>
            <a:rPr lang="en-IN" sz="1200" b="1">
              <a:solidFill>
                <a:schemeClr val="tx1"/>
              </a:solidFill>
              <a:effectLst/>
              <a:latin typeface="+mn-lt"/>
              <a:ea typeface="+mn-ea"/>
              <a:cs typeface="+mn-cs"/>
            </a:rPr>
            <a:t>#Value</a:t>
          </a:r>
          <a:r>
            <a:rPr lang="en-IN" sz="1200">
              <a:solidFill>
                <a:schemeClr val="tx1"/>
              </a:solidFill>
              <a:effectLst/>
              <a:latin typeface="+mn-lt"/>
              <a:ea typeface="+mn-ea"/>
              <a:cs typeface="+mn-cs"/>
            </a:rPr>
            <a:t> in product link indicates that there is no product link provided.</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IN" sz="1100" b="1">
              <a:solidFill>
                <a:schemeClr val="tx1"/>
              </a:solidFill>
              <a:effectLst/>
              <a:latin typeface="+mn-lt"/>
              <a:ea typeface="+mn-ea"/>
              <a:cs typeface="+mn-cs"/>
            </a:rPr>
            <a:t>If you face any issues with the dashboard, make sure you are using a compatible version of Excel!</a:t>
          </a:r>
          <a:r>
            <a:rPr lang="en-IN" sz="1100">
              <a:solidFill>
                <a:schemeClr val="tx1"/>
              </a:solidFill>
              <a:effectLst/>
              <a:latin typeface="+mn-lt"/>
              <a:ea typeface="+mn-ea"/>
              <a:cs typeface="+mn-cs"/>
            </a:rPr>
            <a:t> If the file does not work correctly, try opening it in </a:t>
          </a:r>
          <a:r>
            <a:rPr lang="en-IN" sz="1100" b="1">
              <a:solidFill>
                <a:schemeClr val="tx1"/>
              </a:solidFill>
              <a:effectLst/>
              <a:latin typeface="+mn-lt"/>
              <a:ea typeface="+mn-ea"/>
              <a:cs typeface="+mn-cs"/>
            </a:rPr>
            <a:t>Excel 2013 or later</a:t>
          </a:r>
          <a:r>
            <a:rPr lang="en-IN" sz="1100">
              <a:solidFill>
                <a:schemeClr val="tx1"/>
              </a:solidFill>
              <a:effectLst/>
              <a:latin typeface="+mn-lt"/>
              <a:ea typeface="+mn-ea"/>
              <a:cs typeface="+mn-cs"/>
            </a:rPr>
            <a:t> for better stability.</a:t>
          </a:r>
          <a:endParaRPr lang="en-IN" sz="1200">
            <a:solidFill>
              <a:srgbClr val="D6A300"/>
            </a:solidFill>
            <a:effectLst/>
            <a:latin typeface="Abadi" panose="020B0604020104020204" pitchFamily="34" charset="0"/>
            <a:ea typeface="+mn-ea"/>
            <a:cs typeface="+mn-cs"/>
          </a:endParaRPr>
        </a:p>
        <a:p>
          <a:endParaRPr lang="en-IN" sz="1100">
            <a:solidFill>
              <a:srgbClr val="FF0000"/>
            </a:solidFill>
          </a:endParaRPr>
        </a:p>
      </xdr:txBody>
    </xdr:sp>
    <xdr:clientData/>
  </xdr:oneCellAnchor>
  <xdr:twoCellAnchor>
    <xdr:from>
      <xdr:col>1</xdr:col>
      <xdr:colOff>4233</xdr:colOff>
      <xdr:row>33</xdr:row>
      <xdr:rowOff>370416</xdr:rowOff>
    </xdr:from>
    <xdr:to>
      <xdr:col>5</xdr:col>
      <xdr:colOff>21166</xdr:colOff>
      <xdr:row>34</xdr:row>
      <xdr:rowOff>10583</xdr:rowOff>
    </xdr:to>
    <xdr:cxnSp macro="">
      <xdr:nvCxnSpPr>
        <xdr:cNvPr id="3092" name="Straight Connector 3091">
          <a:extLst>
            <a:ext uri="{FF2B5EF4-FFF2-40B4-BE49-F238E27FC236}">
              <a16:creationId xmlns:a16="http://schemas.microsoft.com/office/drawing/2014/main" id="{00000000-0008-0000-0400-0000140C0000}"/>
            </a:ext>
          </a:extLst>
        </xdr:cNvPr>
        <xdr:cNvCxnSpPr/>
      </xdr:nvCxnSpPr>
      <xdr:spPr>
        <a:xfrm flipV="1">
          <a:off x="1020233" y="12837583"/>
          <a:ext cx="8293100" cy="2116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484732</xdr:colOff>
      <xdr:row>23</xdr:row>
      <xdr:rowOff>12684</xdr:rowOff>
    </xdr:from>
    <xdr:to>
      <xdr:col>2</xdr:col>
      <xdr:colOff>549047</xdr:colOff>
      <xdr:row>24</xdr:row>
      <xdr:rowOff>9467</xdr:rowOff>
    </xdr:to>
    <xdr:grpSp>
      <xdr:nvGrpSpPr>
        <xdr:cNvPr id="43" name="Group 42">
          <a:extLst>
            <a:ext uri="{FF2B5EF4-FFF2-40B4-BE49-F238E27FC236}">
              <a16:creationId xmlns:a16="http://schemas.microsoft.com/office/drawing/2014/main" id="{00000000-0008-0000-0400-00002B000000}"/>
            </a:ext>
          </a:extLst>
        </xdr:cNvPr>
        <xdr:cNvGrpSpPr/>
      </xdr:nvGrpSpPr>
      <xdr:grpSpPr>
        <a:xfrm>
          <a:off x="484732" y="11463851"/>
          <a:ext cx="3779065" cy="441283"/>
          <a:chOff x="7468766" y="7079288"/>
          <a:chExt cx="3470702" cy="497267"/>
        </a:xfrm>
      </xdr:grpSpPr>
      <xdr:sp macro="" textlink="">
        <xdr:nvSpPr>
          <xdr:cNvPr id="11" name="Flowchart: Delay 10">
            <a:extLst>
              <a:ext uri="{FF2B5EF4-FFF2-40B4-BE49-F238E27FC236}">
                <a16:creationId xmlns:a16="http://schemas.microsoft.com/office/drawing/2014/main" id="{00000000-0008-0000-0400-00000B000000}"/>
              </a:ext>
            </a:extLst>
          </xdr:cNvPr>
          <xdr:cNvSpPr/>
        </xdr:nvSpPr>
        <xdr:spPr>
          <a:xfrm rot="10800000" flipH="1">
            <a:off x="10453927" y="7080250"/>
            <a:ext cx="485541" cy="496305"/>
          </a:xfrm>
          <a:prstGeom prst="flowChartDelay">
            <a:avLst/>
          </a:prstGeom>
          <a:solidFill>
            <a:schemeClr val="tx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Flowchart: Delay 2">
            <a:extLst>
              <a:ext uri="{FF2B5EF4-FFF2-40B4-BE49-F238E27FC236}">
                <a16:creationId xmlns:a16="http://schemas.microsoft.com/office/drawing/2014/main" id="{00000000-0008-0000-0400-000003000000}"/>
              </a:ext>
            </a:extLst>
          </xdr:cNvPr>
          <xdr:cNvSpPr/>
        </xdr:nvSpPr>
        <xdr:spPr>
          <a:xfrm flipH="1">
            <a:off x="7468766" y="7079288"/>
            <a:ext cx="495300" cy="495299"/>
          </a:xfrm>
          <a:prstGeom prst="flowChartDelay">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oneCell">
    <xdr:from>
      <xdr:col>2</xdr:col>
      <xdr:colOff>47338</xdr:colOff>
      <xdr:row>23</xdr:row>
      <xdr:rowOff>88657</xdr:rowOff>
    </xdr:from>
    <xdr:to>
      <xdr:col>2</xdr:col>
      <xdr:colOff>528409</xdr:colOff>
      <xdr:row>24</xdr:row>
      <xdr:rowOff>3414</xdr:rowOff>
    </xdr:to>
    <xdr:pic>
      <xdr:nvPicPr>
        <xdr:cNvPr id="27" name="Graphic 26" descr="Magnifying glass with solid fill">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963171" y="8110824"/>
          <a:ext cx="481071" cy="355023"/>
        </a:xfrm>
        <a:prstGeom prst="rect">
          <a:avLst/>
        </a:prstGeom>
      </xdr:spPr>
    </xdr:pic>
    <xdr:clientData/>
  </xdr:twoCellAnchor>
  <xdr:twoCellAnchor>
    <xdr:from>
      <xdr:col>3</xdr:col>
      <xdr:colOff>95250</xdr:colOff>
      <xdr:row>0</xdr:row>
      <xdr:rowOff>0</xdr:rowOff>
    </xdr:from>
    <xdr:to>
      <xdr:col>10</xdr:col>
      <xdr:colOff>1513417</xdr:colOff>
      <xdr:row>2</xdr:row>
      <xdr:rowOff>692071</xdr:rowOff>
    </xdr:to>
    <xdr:sp macro="" textlink="">
      <xdr:nvSpPr>
        <xdr:cNvPr id="45" name="TextBox 44">
          <a:extLst>
            <a:ext uri="{FF2B5EF4-FFF2-40B4-BE49-F238E27FC236}">
              <a16:creationId xmlns:a16="http://schemas.microsoft.com/office/drawing/2014/main" id="{00000000-0008-0000-0400-00002D000000}"/>
            </a:ext>
          </a:extLst>
        </xdr:cNvPr>
        <xdr:cNvSpPr txBox="1"/>
      </xdr:nvSpPr>
      <xdr:spPr>
        <a:xfrm>
          <a:off x="5844117" y="0"/>
          <a:ext cx="14084300" cy="954538"/>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IN" sz="2900" b="1" i="0" u="none" strike="noStrike" kern="1200" cap="none" spc="0" normalizeH="0" baseline="0" noProof="0">
              <a:ln>
                <a:noFill/>
              </a:ln>
              <a:solidFill>
                <a:srgbClr val="00B050"/>
              </a:solidFill>
              <a:effectLst/>
              <a:uLnTx/>
              <a:uFillTx/>
              <a:latin typeface="ADLaM Display" panose="02010000000000000000" pitchFamily="2" charset="0"/>
              <a:ea typeface="ADLaM Display" panose="02010000000000000000" pitchFamily="2" charset="0"/>
              <a:cs typeface="ADLaM Display" panose="02010000000000000000" pitchFamily="2" charset="0"/>
            </a:rPr>
            <a:t> </a:t>
          </a:r>
          <a:r>
            <a:rPr kumimoji="0" lang="en-IN" sz="2800" b="1" i="0" u="none" strike="noStrike" kern="1200" cap="none" spc="0" normalizeH="0" baseline="0" noProof="0">
              <a:ln>
                <a:noFill/>
              </a:ln>
              <a:solidFill>
                <a:schemeClr val="tx1">
                  <a:lumMod val="95000"/>
                  <a:lumOff val="5000"/>
                </a:schemeClr>
              </a:solidFill>
              <a:effectLst/>
              <a:uLnTx/>
              <a:uFillTx/>
              <a:latin typeface="ADLaM Display" panose="02010000000000000000" pitchFamily="2" charset="0"/>
              <a:ea typeface="ADLaM Display" panose="02010000000000000000" pitchFamily="2" charset="0"/>
              <a:cs typeface="ADLaM Display" panose="02010000000000000000" pitchFamily="2" charset="0"/>
            </a:rPr>
            <a:t>Product overview of POC HbA1c and HbA1c along with multi testing parameters</a:t>
          </a:r>
        </a:p>
        <a:p>
          <a:endParaRPr lang="en-IN" sz="3100">
            <a:solidFill>
              <a:schemeClr val="tx1">
                <a:lumMod val="95000"/>
                <a:lumOff val="5000"/>
              </a:schemeClr>
            </a:solidFill>
          </a:endParaRPr>
        </a:p>
      </xdr:txBody>
    </xdr:sp>
    <xdr:clientData/>
  </xdr:twoCellAnchor>
  <xdr:twoCellAnchor>
    <xdr:from>
      <xdr:col>1</xdr:col>
      <xdr:colOff>0</xdr:colOff>
      <xdr:row>42</xdr:row>
      <xdr:rowOff>378036</xdr:rowOff>
    </xdr:from>
    <xdr:to>
      <xdr:col>5</xdr:col>
      <xdr:colOff>62229</xdr:colOff>
      <xdr:row>43</xdr:row>
      <xdr:rowOff>10583</xdr:rowOff>
    </xdr:to>
    <xdr:cxnSp macro="">
      <xdr:nvCxnSpPr>
        <xdr:cNvPr id="44" name="Straight Connector 43">
          <a:extLst>
            <a:ext uri="{FF2B5EF4-FFF2-40B4-BE49-F238E27FC236}">
              <a16:creationId xmlns:a16="http://schemas.microsoft.com/office/drawing/2014/main" id="{00000000-0008-0000-0400-00002C000000}"/>
            </a:ext>
          </a:extLst>
        </xdr:cNvPr>
        <xdr:cNvCxnSpPr/>
      </xdr:nvCxnSpPr>
      <xdr:spPr>
        <a:xfrm flipV="1">
          <a:off x="1016000" y="16496453"/>
          <a:ext cx="8338396" cy="1354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44</xdr:row>
      <xdr:rowOff>0</xdr:rowOff>
    </xdr:from>
    <xdr:to>
      <xdr:col>5</xdr:col>
      <xdr:colOff>21166</xdr:colOff>
      <xdr:row>44</xdr:row>
      <xdr:rowOff>10584</xdr:rowOff>
    </xdr:to>
    <xdr:cxnSp macro="">
      <xdr:nvCxnSpPr>
        <xdr:cNvPr id="46" name="Straight Connector 45">
          <a:extLst>
            <a:ext uri="{FF2B5EF4-FFF2-40B4-BE49-F238E27FC236}">
              <a16:creationId xmlns:a16="http://schemas.microsoft.com/office/drawing/2014/main" id="{00000000-0008-0000-0400-00002E000000}"/>
            </a:ext>
          </a:extLst>
        </xdr:cNvPr>
        <xdr:cNvCxnSpPr/>
      </xdr:nvCxnSpPr>
      <xdr:spPr>
        <a:xfrm flipV="1">
          <a:off x="1016000" y="16880417"/>
          <a:ext cx="8297333" cy="1058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1693</xdr:colOff>
      <xdr:row>45</xdr:row>
      <xdr:rowOff>18202</xdr:rowOff>
    </xdr:from>
    <xdr:to>
      <xdr:col>5</xdr:col>
      <xdr:colOff>21167</xdr:colOff>
      <xdr:row>45</xdr:row>
      <xdr:rowOff>21167</xdr:rowOff>
    </xdr:to>
    <xdr:cxnSp macro="">
      <xdr:nvCxnSpPr>
        <xdr:cNvPr id="47" name="Straight Connector 46">
          <a:extLst>
            <a:ext uri="{FF2B5EF4-FFF2-40B4-BE49-F238E27FC236}">
              <a16:creationId xmlns:a16="http://schemas.microsoft.com/office/drawing/2014/main" id="{00000000-0008-0000-0400-00002F000000}"/>
            </a:ext>
          </a:extLst>
        </xdr:cNvPr>
        <xdr:cNvCxnSpPr/>
      </xdr:nvCxnSpPr>
      <xdr:spPr>
        <a:xfrm>
          <a:off x="1218776" y="16443535"/>
          <a:ext cx="7755891" cy="296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1693</xdr:colOff>
      <xdr:row>45</xdr:row>
      <xdr:rowOff>378036</xdr:rowOff>
    </xdr:from>
    <xdr:to>
      <xdr:col>5</xdr:col>
      <xdr:colOff>31750</xdr:colOff>
      <xdr:row>46</xdr:row>
      <xdr:rowOff>0</xdr:rowOff>
    </xdr:to>
    <xdr:cxnSp macro="">
      <xdr:nvCxnSpPr>
        <xdr:cNvPr id="48" name="Straight Connector 47">
          <a:extLst>
            <a:ext uri="{FF2B5EF4-FFF2-40B4-BE49-F238E27FC236}">
              <a16:creationId xmlns:a16="http://schemas.microsoft.com/office/drawing/2014/main" id="{00000000-0008-0000-0400-000030000000}"/>
            </a:ext>
          </a:extLst>
        </xdr:cNvPr>
        <xdr:cNvCxnSpPr/>
      </xdr:nvCxnSpPr>
      <xdr:spPr>
        <a:xfrm>
          <a:off x="1218776" y="16803369"/>
          <a:ext cx="7766474" cy="296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10584</xdr:colOff>
      <xdr:row>25</xdr:row>
      <xdr:rowOff>329141</xdr:rowOff>
    </xdr:from>
    <xdr:to>
      <xdr:col>5</xdr:col>
      <xdr:colOff>10582</xdr:colOff>
      <xdr:row>26</xdr:row>
      <xdr:rowOff>624416</xdr:rowOff>
    </xdr:to>
    <xdr:sp macro="" textlink="">
      <xdr:nvSpPr>
        <xdr:cNvPr id="4116" name="Rectangle 4115">
          <a:extLst>
            <a:ext uri="{FF2B5EF4-FFF2-40B4-BE49-F238E27FC236}">
              <a16:creationId xmlns:a16="http://schemas.microsoft.com/office/drawing/2014/main" id="{00000000-0008-0000-0400-000014100000}"/>
            </a:ext>
          </a:extLst>
        </xdr:cNvPr>
        <xdr:cNvSpPr/>
      </xdr:nvSpPr>
      <xdr:spPr>
        <a:xfrm>
          <a:off x="1227667" y="9123891"/>
          <a:ext cx="8307915" cy="633942"/>
        </a:xfrm>
        <a:prstGeom prst="rect">
          <a:avLst/>
        </a:prstGeom>
        <a:solidFill>
          <a:srgbClr val="3F9D9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63501</xdr:colOff>
      <xdr:row>26</xdr:row>
      <xdr:rowOff>31750</xdr:rowOff>
    </xdr:from>
    <xdr:to>
      <xdr:col>1</xdr:col>
      <xdr:colOff>2635251</xdr:colOff>
      <xdr:row>26</xdr:row>
      <xdr:rowOff>603250</xdr:rowOff>
    </xdr:to>
    <xdr:sp macro="" textlink="">
      <xdr:nvSpPr>
        <xdr:cNvPr id="4117" name="TextBox 4116">
          <a:extLst>
            <a:ext uri="{FF2B5EF4-FFF2-40B4-BE49-F238E27FC236}">
              <a16:creationId xmlns:a16="http://schemas.microsoft.com/office/drawing/2014/main" id="{00000000-0008-0000-0400-000015100000}"/>
            </a:ext>
          </a:extLst>
        </xdr:cNvPr>
        <xdr:cNvSpPr txBox="1"/>
      </xdr:nvSpPr>
      <xdr:spPr>
        <a:xfrm>
          <a:off x="1280584" y="9165167"/>
          <a:ext cx="2571750" cy="571500"/>
        </a:xfrm>
        <a:prstGeom prst="rect">
          <a:avLst/>
        </a:prstGeom>
        <a:noFill/>
        <a:ln w="9525" cmpd="sng">
          <a:noFill/>
        </a:ln>
        <a:effectLst>
          <a:glow>
            <a:schemeClr val="accent1"/>
          </a:glow>
          <a:reflection endPos="0" dist="50800" dir="5400000" sy="-100000" algn="bl" rotWithShape="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Local</a:t>
          </a:r>
          <a:r>
            <a:rPr lang="en-IN" sz="1400" b="1" baseline="0"/>
            <a:t> supplier</a:t>
          </a:r>
          <a:endParaRPr lang="en-IN" sz="1400" b="1"/>
        </a:p>
      </xdr:txBody>
    </xdr:sp>
    <xdr:clientData/>
  </xdr:twoCellAnchor>
  <xdr:twoCellAnchor>
    <xdr:from>
      <xdr:col>1</xdr:col>
      <xdr:colOff>2667001</xdr:colOff>
      <xdr:row>26</xdr:row>
      <xdr:rowOff>21166</xdr:rowOff>
    </xdr:from>
    <xdr:to>
      <xdr:col>3</xdr:col>
      <xdr:colOff>31750</xdr:colOff>
      <xdr:row>26</xdr:row>
      <xdr:rowOff>624416</xdr:rowOff>
    </xdr:to>
    <xdr:sp macro="" textlink="">
      <xdr:nvSpPr>
        <xdr:cNvPr id="4118" name="TextBox 4117">
          <a:extLst>
            <a:ext uri="{FF2B5EF4-FFF2-40B4-BE49-F238E27FC236}">
              <a16:creationId xmlns:a16="http://schemas.microsoft.com/office/drawing/2014/main" id="{00000000-0008-0000-0400-000016100000}"/>
            </a:ext>
          </a:extLst>
        </xdr:cNvPr>
        <xdr:cNvSpPr txBox="1"/>
      </xdr:nvSpPr>
      <xdr:spPr>
        <a:xfrm>
          <a:off x="3884084" y="9154583"/>
          <a:ext cx="2095499"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dk1"/>
              </a:solidFill>
              <a:latin typeface="+mn-lt"/>
              <a:ea typeface="+mn-ea"/>
              <a:cs typeface="+mn-cs"/>
            </a:rPr>
            <a:t>International</a:t>
          </a:r>
          <a:r>
            <a:rPr lang="en-IN" sz="1400" b="1" baseline="0">
              <a:solidFill>
                <a:schemeClr val="dk1"/>
              </a:solidFill>
              <a:latin typeface="+mn-lt"/>
              <a:ea typeface="+mn-ea"/>
              <a:cs typeface="+mn-cs"/>
            </a:rPr>
            <a:t> </a:t>
          </a:r>
          <a:r>
            <a:rPr lang="en-IN" sz="1400" b="1">
              <a:solidFill>
                <a:schemeClr val="dk1"/>
              </a:solidFill>
              <a:latin typeface="+mn-lt"/>
              <a:ea typeface="+mn-ea"/>
              <a:cs typeface="+mn-cs"/>
            </a:rPr>
            <a:t>Supplier</a:t>
          </a:r>
        </a:p>
      </xdr:txBody>
    </xdr:sp>
    <xdr:clientData/>
  </xdr:twoCellAnchor>
  <xdr:twoCellAnchor>
    <xdr:from>
      <xdr:col>3</xdr:col>
      <xdr:colOff>74084</xdr:colOff>
      <xdr:row>26</xdr:row>
      <xdr:rowOff>42333</xdr:rowOff>
    </xdr:from>
    <xdr:to>
      <xdr:col>4</xdr:col>
      <xdr:colOff>31750</xdr:colOff>
      <xdr:row>26</xdr:row>
      <xdr:rowOff>624416</xdr:rowOff>
    </xdr:to>
    <xdr:sp macro="" textlink="">
      <xdr:nvSpPr>
        <xdr:cNvPr id="4119" name="TextBox 4118">
          <a:extLst>
            <a:ext uri="{FF2B5EF4-FFF2-40B4-BE49-F238E27FC236}">
              <a16:creationId xmlns:a16="http://schemas.microsoft.com/office/drawing/2014/main" id="{00000000-0008-0000-0400-000017100000}"/>
            </a:ext>
          </a:extLst>
        </xdr:cNvPr>
        <xdr:cNvSpPr txBox="1"/>
      </xdr:nvSpPr>
      <xdr:spPr>
        <a:xfrm>
          <a:off x="6021917" y="9175750"/>
          <a:ext cx="1545166" cy="5820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400" b="1" baseline="0">
              <a:solidFill>
                <a:schemeClr val="dk1"/>
              </a:solidFill>
              <a:effectLst/>
              <a:latin typeface="+mn-lt"/>
              <a:ea typeface="+mn-ea"/>
              <a:cs typeface="+mn-cs"/>
            </a:rPr>
            <a:t>Suppliers and manufacturers</a:t>
          </a:r>
          <a:endParaRPr lang="en-IN" sz="1400">
            <a:effectLst/>
          </a:endParaRPr>
        </a:p>
      </xdr:txBody>
    </xdr:sp>
    <xdr:clientData/>
  </xdr:twoCellAnchor>
  <xdr:twoCellAnchor>
    <xdr:from>
      <xdr:col>4</xdr:col>
      <xdr:colOff>42334</xdr:colOff>
      <xdr:row>26</xdr:row>
      <xdr:rowOff>31750</xdr:rowOff>
    </xdr:from>
    <xdr:to>
      <xdr:col>4</xdr:col>
      <xdr:colOff>1979084</xdr:colOff>
      <xdr:row>26</xdr:row>
      <xdr:rowOff>613833</xdr:rowOff>
    </xdr:to>
    <xdr:sp macro="" textlink="">
      <xdr:nvSpPr>
        <xdr:cNvPr id="4120" name="TextBox 4119">
          <a:extLst>
            <a:ext uri="{FF2B5EF4-FFF2-40B4-BE49-F238E27FC236}">
              <a16:creationId xmlns:a16="http://schemas.microsoft.com/office/drawing/2014/main" id="{00000000-0008-0000-0400-000018100000}"/>
            </a:ext>
          </a:extLst>
        </xdr:cNvPr>
        <xdr:cNvSpPr txBox="1"/>
      </xdr:nvSpPr>
      <xdr:spPr>
        <a:xfrm>
          <a:off x="7577667" y="9165167"/>
          <a:ext cx="1936750" cy="5820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dk1"/>
              </a:solidFill>
              <a:latin typeface="+mn-lt"/>
              <a:ea typeface="+mn-ea"/>
              <a:cs typeface="+mn-cs"/>
            </a:rPr>
            <a:t>Manufacturer</a:t>
          </a:r>
        </a:p>
      </xdr:txBody>
    </xdr:sp>
    <xdr:clientData/>
  </xdr:twoCellAnchor>
  <xdr:twoCellAnchor>
    <xdr:from>
      <xdr:col>1</xdr:col>
      <xdr:colOff>2692823</xdr:colOff>
      <xdr:row>26</xdr:row>
      <xdr:rowOff>25823</xdr:rowOff>
    </xdr:from>
    <xdr:to>
      <xdr:col>2</xdr:col>
      <xdr:colOff>10583</xdr:colOff>
      <xdr:row>48</xdr:row>
      <xdr:rowOff>10583</xdr:rowOff>
    </xdr:to>
    <xdr:cxnSp macro="">
      <xdr:nvCxnSpPr>
        <xdr:cNvPr id="14" name="Straight Connector 13">
          <a:extLst>
            <a:ext uri="{FF2B5EF4-FFF2-40B4-BE49-F238E27FC236}">
              <a16:creationId xmlns:a16="http://schemas.microsoft.com/office/drawing/2014/main" id="{00000000-0008-0000-0400-00000E000000}"/>
            </a:ext>
          </a:extLst>
        </xdr:cNvPr>
        <xdr:cNvCxnSpPr/>
      </xdr:nvCxnSpPr>
      <xdr:spPr>
        <a:xfrm>
          <a:off x="3708823" y="9550823"/>
          <a:ext cx="16510" cy="864192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15239</xdr:colOff>
      <xdr:row>26</xdr:row>
      <xdr:rowOff>46990</xdr:rowOff>
    </xdr:from>
    <xdr:to>
      <xdr:col>3</xdr:col>
      <xdr:colOff>21167</xdr:colOff>
      <xdr:row>48</xdr:row>
      <xdr:rowOff>10583</xdr:rowOff>
    </xdr:to>
    <xdr:cxnSp macro="">
      <xdr:nvCxnSpPr>
        <xdr:cNvPr id="4121" name="Straight Connector 4120">
          <a:extLst>
            <a:ext uri="{FF2B5EF4-FFF2-40B4-BE49-F238E27FC236}">
              <a16:creationId xmlns:a16="http://schemas.microsoft.com/office/drawing/2014/main" id="{00000000-0008-0000-0400-000019100000}"/>
            </a:ext>
          </a:extLst>
        </xdr:cNvPr>
        <xdr:cNvCxnSpPr/>
      </xdr:nvCxnSpPr>
      <xdr:spPr>
        <a:xfrm>
          <a:off x="5761989" y="9571990"/>
          <a:ext cx="5928" cy="862076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25</xdr:row>
      <xdr:rowOff>306917</xdr:rowOff>
    </xdr:from>
    <xdr:to>
      <xdr:col>4</xdr:col>
      <xdr:colOff>0</xdr:colOff>
      <xdr:row>48</xdr:row>
      <xdr:rowOff>10583</xdr:rowOff>
    </xdr:to>
    <xdr:cxnSp macro="">
      <xdr:nvCxnSpPr>
        <xdr:cNvPr id="4122" name="Straight Connector 4121">
          <a:extLst>
            <a:ext uri="{FF2B5EF4-FFF2-40B4-BE49-F238E27FC236}">
              <a16:creationId xmlns:a16="http://schemas.microsoft.com/office/drawing/2014/main" id="{00000000-0008-0000-0400-00001A100000}"/>
            </a:ext>
          </a:extLst>
        </xdr:cNvPr>
        <xdr:cNvCxnSpPr/>
      </xdr:nvCxnSpPr>
      <xdr:spPr>
        <a:xfrm>
          <a:off x="7334250" y="9482667"/>
          <a:ext cx="0" cy="871008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25</xdr:row>
      <xdr:rowOff>338667</xdr:rowOff>
    </xdr:from>
    <xdr:to>
      <xdr:col>5</xdr:col>
      <xdr:colOff>10583</xdr:colOff>
      <xdr:row>48</xdr:row>
      <xdr:rowOff>0</xdr:rowOff>
    </xdr:to>
    <xdr:cxnSp macro="">
      <xdr:nvCxnSpPr>
        <xdr:cNvPr id="4123" name="Straight Connector 4122">
          <a:extLst>
            <a:ext uri="{FF2B5EF4-FFF2-40B4-BE49-F238E27FC236}">
              <a16:creationId xmlns:a16="http://schemas.microsoft.com/office/drawing/2014/main" id="{00000000-0008-0000-0400-00001B100000}"/>
            </a:ext>
          </a:extLst>
        </xdr:cNvPr>
        <xdr:cNvCxnSpPr/>
      </xdr:nvCxnSpPr>
      <xdr:spPr>
        <a:xfrm>
          <a:off x="9292167" y="10689167"/>
          <a:ext cx="10583" cy="8890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1371600</xdr:colOff>
          <xdr:row>24</xdr:row>
          <xdr:rowOff>104775</xdr:rowOff>
        </xdr:from>
        <xdr:to>
          <xdr:col>4</xdr:col>
          <xdr:colOff>1943100</xdr:colOff>
          <xdr:row>25</xdr:row>
          <xdr:rowOff>314325</xdr:rowOff>
        </xdr:to>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4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IN" sz="800" b="0" i="0" u="none" strike="noStrike" baseline="0">
                  <a:solidFill>
                    <a:srgbClr val="000000"/>
                  </a:solidFill>
                  <a:latin typeface="Segoe UI"/>
                  <a:cs typeface="Segoe UI"/>
                </a:rPr>
                <a:t>Type of equipment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1466850</xdr:colOff>
          <xdr:row>24</xdr:row>
          <xdr:rowOff>180975</xdr:rowOff>
        </xdr:from>
        <xdr:to>
          <xdr:col>3</xdr:col>
          <xdr:colOff>476250</xdr:colOff>
          <xdr:row>25</xdr:row>
          <xdr:rowOff>209550</xdr:rowOff>
        </xdr:to>
        <xdr:sp macro="" textlink="">
          <xdr:nvSpPr>
            <xdr:cNvPr id="1037" name="OptionButton1"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695325</xdr:colOff>
          <xdr:row>24</xdr:row>
          <xdr:rowOff>171450</xdr:rowOff>
        </xdr:from>
        <xdr:to>
          <xdr:col>4</xdr:col>
          <xdr:colOff>1685925</xdr:colOff>
          <xdr:row>25</xdr:row>
          <xdr:rowOff>200025</xdr:rowOff>
        </xdr:to>
        <xdr:sp macro="" textlink="">
          <xdr:nvSpPr>
            <xdr:cNvPr id="1038" name="OptionButton2"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9527</xdr:colOff>
      <xdr:row>2</xdr:row>
      <xdr:rowOff>223309</xdr:rowOff>
    </xdr:from>
    <xdr:to>
      <xdr:col>1</xdr:col>
      <xdr:colOff>3176</xdr:colOff>
      <xdr:row>2</xdr:row>
      <xdr:rowOff>532342</xdr:rowOff>
    </xdr:to>
    <xdr:sp macro="" textlink="">
      <xdr:nvSpPr>
        <xdr:cNvPr id="7" name="Arrow: Pentagon 6">
          <a:extLst>
            <a:ext uri="{FF2B5EF4-FFF2-40B4-BE49-F238E27FC236}">
              <a16:creationId xmlns:a16="http://schemas.microsoft.com/office/drawing/2014/main" id="{2A2614E2-A06D-D07B-3C4A-FB6B9E4A5B7A}"/>
            </a:ext>
          </a:extLst>
        </xdr:cNvPr>
        <xdr:cNvSpPr/>
      </xdr:nvSpPr>
      <xdr:spPr>
        <a:xfrm>
          <a:off x="9527" y="487892"/>
          <a:ext cx="1009649" cy="309033"/>
        </a:xfrm>
        <a:prstGeom prst="homePlate">
          <a:avLst>
            <a:gd name="adj" fmla="val 32876"/>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400" b="1" kern="1200">
              <a:solidFill>
                <a:srgbClr val="002060"/>
              </a:solidFill>
              <a:latin typeface="ADLaM Display" panose="02010000000000000000" pitchFamily="2" charset="0"/>
              <a:ea typeface="ADLaM Display" panose="02010000000000000000" pitchFamily="2" charset="0"/>
              <a:cs typeface="ADLaM Display" panose="02010000000000000000" pitchFamily="2" charset="0"/>
            </a:rPr>
            <a:t>Input</a:t>
          </a:r>
        </a:p>
      </xdr:txBody>
    </xdr:sp>
    <xdr:clientData/>
  </xdr:twoCellAnchor>
  <xdr:twoCellAnchor>
    <xdr:from>
      <xdr:col>0</xdr:col>
      <xdr:colOff>0</xdr:colOff>
      <xdr:row>4</xdr:row>
      <xdr:rowOff>159809</xdr:rowOff>
    </xdr:from>
    <xdr:to>
      <xdr:col>0</xdr:col>
      <xdr:colOff>1009649</xdr:colOff>
      <xdr:row>6</xdr:row>
      <xdr:rowOff>24342</xdr:rowOff>
    </xdr:to>
    <xdr:sp macro="" textlink="">
      <xdr:nvSpPr>
        <xdr:cNvPr id="9" name="Arrow: Pentagon 8">
          <a:extLst>
            <a:ext uri="{FF2B5EF4-FFF2-40B4-BE49-F238E27FC236}">
              <a16:creationId xmlns:a16="http://schemas.microsoft.com/office/drawing/2014/main" id="{613ABDD6-F7C2-FBCD-5E6A-237350CDE0B8}"/>
            </a:ext>
          </a:extLst>
        </xdr:cNvPr>
        <xdr:cNvSpPr/>
      </xdr:nvSpPr>
      <xdr:spPr>
        <a:xfrm>
          <a:off x="0" y="1271059"/>
          <a:ext cx="1009649" cy="309033"/>
        </a:xfrm>
        <a:prstGeom prst="homePlate">
          <a:avLst>
            <a:gd name="adj" fmla="val 32876"/>
          </a:avLst>
        </a:prstGeom>
        <a:solidFill>
          <a:schemeClr val="bg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400" b="1" i="0" u="none" strike="noStrike" kern="1200" cap="none" spc="0" normalizeH="0" baseline="0" noProof="0">
              <a:ln>
                <a:noFill/>
              </a:ln>
              <a:solidFill>
                <a:srgbClr val="002060"/>
              </a:solidFill>
              <a:effectLst/>
              <a:uLnTx/>
              <a:uFillTx/>
              <a:latin typeface="ADLaM Display" panose="02010000000000000000" pitchFamily="2" charset="0"/>
              <a:ea typeface="ADLaM Display" panose="02010000000000000000" pitchFamily="2" charset="0"/>
              <a:cs typeface="ADLaM Display" panose="02010000000000000000" pitchFamily="2" charset="0"/>
            </a:rPr>
            <a:t>Criteria</a:t>
          </a:r>
        </a:p>
      </xdr:txBody>
    </xdr:sp>
    <xdr:clientData/>
  </xdr:twoCellAnchor>
  <xdr:twoCellAnchor>
    <xdr:from>
      <xdr:col>0</xdr:col>
      <xdr:colOff>0</xdr:colOff>
      <xdr:row>8</xdr:row>
      <xdr:rowOff>339726</xdr:rowOff>
    </xdr:from>
    <xdr:to>
      <xdr:col>0</xdr:col>
      <xdr:colOff>1009649</xdr:colOff>
      <xdr:row>8</xdr:row>
      <xdr:rowOff>648759</xdr:rowOff>
    </xdr:to>
    <xdr:sp macro="" textlink="">
      <xdr:nvSpPr>
        <xdr:cNvPr id="12" name="Arrow: Pentagon 11">
          <a:extLst>
            <a:ext uri="{FF2B5EF4-FFF2-40B4-BE49-F238E27FC236}">
              <a16:creationId xmlns:a16="http://schemas.microsoft.com/office/drawing/2014/main" id="{BE9FC940-351D-CB70-4833-47F488F8E4DE}"/>
            </a:ext>
          </a:extLst>
        </xdr:cNvPr>
        <xdr:cNvSpPr/>
      </xdr:nvSpPr>
      <xdr:spPr>
        <a:xfrm>
          <a:off x="0" y="2107143"/>
          <a:ext cx="1009649" cy="309033"/>
        </a:xfrm>
        <a:prstGeom prst="homePlate">
          <a:avLst>
            <a:gd name="adj" fmla="val 32876"/>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400" b="1" i="0" u="none" strike="noStrike" kern="1200" cap="none" spc="0" normalizeH="0" baseline="0" noProof="0">
              <a:ln>
                <a:noFill/>
              </a:ln>
              <a:solidFill>
                <a:srgbClr val="002060"/>
              </a:solidFill>
              <a:effectLst/>
              <a:uLnTx/>
              <a:uFillTx/>
              <a:latin typeface="ADLaM Display" panose="02010000000000000000" pitchFamily="2" charset="0"/>
              <a:ea typeface="ADLaM Display" panose="02010000000000000000" pitchFamily="2" charset="0"/>
              <a:cs typeface="ADLaM Display" panose="02010000000000000000" pitchFamily="2" charset="0"/>
            </a:rPr>
            <a:t>Output</a:t>
          </a:r>
        </a:p>
      </xdr:txBody>
    </xdr:sp>
    <xdr:clientData/>
  </xdr:twoCellAnchor>
  <xdr:twoCellAnchor>
    <xdr:from>
      <xdr:col>0</xdr:col>
      <xdr:colOff>0</xdr:colOff>
      <xdr:row>10</xdr:row>
      <xdr:rowOff>1059</xdr:rowOff>
    </xdr:from>
    <xdr:to>
      <xdr:col>0</xdr:col>
      <xdr:colOff>1009649</xdr:colOff>
      <xdr:row>12</xdr:row>
      <xdr:rowOff>77258</xdr:rowOff>
    </xdr:to>
    <xdr:sp macro="" textlink="">
      <xdr:nvSpPr>
        <xdr:cNvPr id="17" name="Arrow: Pentagon 16">
          <a:extLst>
            <a:ext uri="{FF2B5EF4-FFF2-40B4-BE49-F238E27FC236}">
              <a16:creationId xmlns:a16="http://schemas.microsoft.com/office/drawing/2014/main" id="{1E4D2F4C-6B0C-D6A5-E0B1-AD8C524978D4}"/>
            </a:ext>
          </a:extLst>
        </xdr:cNvPr>
        <xdr:cNvSpPr/>
      </xdr:nvSpPr>
      <xdr:spPr>
        <a:xfrm>
          <a:off x="0" y="2932642"/>
          <a:ext cx="1009649" cy="309033"/>
        </a:xfrm>
        <a:prstGeom prst="homePlate">
          <a:avLst>
            <a:gd name="adj" fmla="val 32876"/>
          </a:avLst>
        </a:prstGeom>
        <a:solidFill>
          <a:schemeClr val="bg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400" b="1" i="0" u="none" strike="noStrike" kern="1200" cap="none" spc="0" normalizeH="0" baseline="0" noProof="0">
              <a:ln>
                <a:noFill/>
              </a:ln>
              <a:solidFill>
                <a:srgbClr val="002060"/>
              </a:solidFill>
              <a:effectLst/>
              <a:uLnTx/>
              <a:uFillTx/>
              <a:latin typeface="ADLaM Display" panose="02010000000000000000" pitchFamily="2" charset="0"/>
              <a:ea typeface="ADLaM Display" panose="02010000000000000000" pitchFamily="2" charset="0"/>
              <a:cs typeface="ADLaM Display" panose="02010000000000000000" pitchFamily="2" charset="0"/>
            </a:rPr>
            <a:t>Criteria</a:t>
          </a:r>
        </a:p>
      </xdr:txBody>
    </xdr:sp>
    <xdr:clientData/>
  </xdr:twoCellAnchor>
  <xdr:twoCellAnchor>
    <xdr:from>
      <xdr:col>0</xdr:col>
      <xdr:colOff>0</xdr:colOff>
      <xdr:row>14</xdr:row>
      <xdr:rowOff>180975</xdr:rowOff>
    </xdr:from>
    <xdr:to>
      <xdr:col>0</xdr:col>
      <xdr:colOff>1009649</xdr:colOff>
      <xdr:row>14</xdr:row>
      <xdr:rowOff>490008</xdr:rowOff>
    </xdr:to>
    <xdr:sp macro="" textlink="">
      <xdr:nvSpPr>
        <xdr:cNvPr id="18" name="Arrow: Pentagon 17">
          <a:extLst>
            <a:ext uri="{FF2B5EF4-FFF2-40B4-BE49-F238E27FC236}">
              <a16:creationId xmlns:a16="http://schemas.microsoft.com/office/drawing/2014/main" id="{B2C36A74-1913-AFE0-91E6-71D2747C25B1}"/>
            </a:ext>
          </a:extLst>
        </xdr:cNvPr>
        <xdr:cNvSpPr/>
      </xdr:nvSpPr>
      <xdr:spPr>
        <a:xfrm>
          <a:off x="0" y="5081058"/>
          <a:ext cx="1009649" cy="309033"/>
        </a:xfrm>
        <a:prstGeom prst="homePlate">
          <a:avLst>
            <a:gd name="adj" fmla="val 32876"/>
          </a:avLst>
        </a:prstGeom>
        <a:solidFill>
          <a:schemeClr val="bg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400" b="1" i="0" u="none" strike="noStrike" kern="1200" cap="none" spc="0" normalizeH="0" baseline="0" noProof="0">
              <a:ln>
                <a:noFill/>
              </a:ln>
              <a:solidFill>
                <a:srgbClr val="002060"/>
              </a:solidFill>
              <a:effectLst/>
              <a:uLnTx/>
              <a:uFillTx/>
              <a:latin typeface="ADLaM Display" panose="02010000000000000000" pitchFamily="2" charset="0"/>
              <a:ea typeface="ADLaM Display" panose="02010000000000000000" pitchFamily="2" charset="0"/>
              <a:cs typeface="ADLaM Display" panose="02010000000000000000" pitchFamily="2" charset="0"/>
            </a:rPr>
            <a:t>Criteria</a:t>
          </a:r>
        </a:p>
      </xdr:txBody>
    </xdr:sp>
    <xdr:clientData/>
  </xdr:twoCellAnchor>
  <xdr:twoCellAnchor>
    <xdr:from>
      <xdr:col>0</xdr:col>
      <xdr:colOff>0</xdr:colOff>
      <xdr:row>19</xdr:row>
      <xdr:rowOff>85724</xdr:rowOff>
    </xdr:from>
    <xdr:to>
      <xdr:col>0</xdr:col>
      <xdr:colOff>1009649</xdr:colOff>
      <xdr:row>20</xdr:row>
      <xdr:rowOff>183090</xdr:rowOff>
    </xdr:to>
    <xdr:sp macro="" textlink="">
      <xdr:nvSpPr>
        <xdr:cNvPr id="19" name="Arrow: Pentagon 18">
          <a:extLst>
            <a:ext uri="{FF2B5EF4-FFF2-40B4-BE49-F238E27FC236}">
              <a16:creationId xmlns:a16="http://schemas.microsoft.com/office/drawing/2014/main" id="{48CB1286-50E1-6C09-A624-9D703A379C16}"/>
            </a:ext>
          </a:extLst>
        </xdr:cNvPr>
        <xdr:cNvSpPr/>
      </xdr:nvSpPr>
      <xdr:spPr>
        <a:xfrm>
          <a:off x="0" y="8361891"/>
          <a:ext cx="1009649" cy="309032"/>
        </a:xfrm>
        <a:prstGeom prst="homePlate">
          <a:avLst>
            <a:gd name="adj" fmla="val 32876"/>
          </a:avLst>
        </a:prstGeom>
        <a:solidFill>
          <a:schemeClr val="bg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400" b="1" i="0" u="none" strike="noStrike" kern="1200" cap="none" spc="0" normalizeH="0" baseline="0" noProof="0">
              <a:ln>
                <a:noFill/>
              </a:ln>
              <a:solidFill>
                <a:srgbClr val="002060"/>
              </a:solidFill>
              <a:effectLst/>
              <a:uLnTx/>
              <a:uFillTx/>
              <a:latin typeface="ADLaM Display" panose="02010000000000000000" pitchFamily="2" charset="0"/>
              <a:ea typeface="ADLaM Display" panose="02010000000000000000" pitchFamily="2" charset="0"/>
              <a:cs typeface="ADLaM Display" panose="02010000000000000000" pitchFamily="2" charset="0"/>
            </a:rPr>
            <a:t>Criteria</a:t>
          </a:r>
        </a:p>
      </xdr:txBody>
    </xdr:sp>
    <xdr:clientData/>
  </xdr:twoCellAnchor>
  <xdr:twoCellAnchor>
    <xdr:from>
      <xdr:col>0</xdr:col>
      <xdr:colOff>8466</xdr:colOff>
      <xdr:row>13</xdr:row>
      <xdr:rowOff>942978</xdr:rowOff>
    </xdr:from>
    <xdr:to>
      <xdr:col>0</xdr:col>
      <xdr:colOff>1018115</xdr:colOff>
      <xdr:row>13</xdr:row>
      <xdr:rowOff>1252011</xdr:rowOff>
    </xdr:to>
    <xdr:sp macro="" textlink="">
      <xdr:nvSpPr>
        <xdr:cNvPr id="23" name="Arrow: Pentagon 22">
          <a:extLst>
            <a:ext uri="{FF2B5EF4-FFF2-40B4-BE49-F238E27FC236}">
              <a16:creationId xmlns:a16="http://schemas.microsoft.com/office/drawing/2014/main" id="{F16516AB-8F4C-B54C-6419-A540B68F3A8B}"/>
            </a:ext>
          </a:extLst>
        </xdr:cNvPr>
        <xdr:cNvSpPr/>
      </xdr:nvSpPr>
      <xdr:spPr>
        <a:xfrm>
          <a:off x="8466" y="4752978"/>
          <a:ext cx="1009649" cy="309033"/>
        </a:xfrm>
        <a:prstGeom prst="homePlate">
          <a:avLst>
            <a:gd name="adj" fmla="val 32876"/>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400" b="1" i="0" u="none" strike="noStrike" kern="1200" cap="none" spc="0" normalizeH="0" baseline="0" noProof="0">
              <a:ln>
                <a:noFill/>
              </a:ln>
              <a:solidFill>
                <a:srgbClr val="002060"/>
              </a:solidFill>
              <a:effectLst/>
              <a:uLnTx/>
              <a:uFillTx/>
              <a:latin typeface="ADLaM Display" panose="02010000000000000000" pitchFamily="2" charset="0"/>
              <a:ea typeface="ADLaM Display" panose="02010000000000000000" pitchFamily="2" charset="0"/>
              <a:cs typeface="ADLaM Display" panose="02010000000000000000" pitchFamily="2" charset="0"/>
            </a:rPr>
            <a:t>Output</a:t>
          </a:r>
        </a:p>
      </xdr:txBody>
    </xdr:sp>
    <xdr:clientData/>
  </xdr:twoCellAnchor>
  <xdr:twoCellAnchor>
    <xdr:from>
      <xdr:col>0</xdr:col>
      <xdr:colOff>0</xdr:colOff>
      <xdr:row>17</xdr:row>
      <xdr:rowOff>1133477</xdr:rowOff>
    </xdr:from>
    <xdr:to>
      <xdr:col>0</xdr:col>
      <xdr:colOff>1009649</xdr:colOff>
      <xdr:row>17</xdr:row>
      <xdr:rowOff>1442510</xdr:rowOff>
    </xdr:to>
    <xdr:sp macro="" textlink="">
      <xdr:nvSpPr>
        <xdr:cNvPr id="25" name="Arrow: Pentagon 24">
          <a:extLst>
            <a:ext uri="{FF2B5EF4-FFF2-40B4-BE49-F238E27FC236}">
              <a16:creationId xmlns:a16="http://schemas.microsoft.com/office/drawing/2014/main" id="{35A46E8A-5C5B-2803-C496-F0A109D6FC3D}"/>
            </a:ext>
          </a:extLst>
        </xdr:cNvPr>
        <xdr:cNvSpPr/>
      </xdr:nvSpPr>
      <xdr:spPr>
        <a:xfrm>
          <a:off x="0" y="8076144"/>
          <a:ext cx="1009649" cy="309033"/>
        </a:xfrm>
        <a:prstGeom prst="homePlate">
          <a:avLst>
            <a:gd name="adj" fmla="val 32876"/>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400" b="1" i="0" u="none" strike="noStrike" kern="1200" cap="none" spc="0" normalizeH="0" baseline="0" noProof="0">
              <a:ln>
                <a:noFill/>
              </a:ln>
              <a:solidFill>
                <a:srgbClr val="002060"/>
              </a:solidFill>
              <a:effectLst/>
              <a:uLnTx/>
              <a:uFillTx/>
              <a:latin typeface="ADLaM Display" panose="02010000000000000000" pitchFamily="2" charset="0"/>
              <a:ea typeface="ADLaM Display" panose="02010000000000000000" pitchFamily="2" charset="0"/>
              <a:cs typeface="ADLaM Display" panose="02010000000000000000" pitchFamily="2" charset="0"/>
            </a:rPr>
            <a:t>Output</a:t>
          </a:r>
        </a:p>
      </xdr:txBody>
    </xdr:sp>
    <xdr:clientData/>
  </xdr:twoCellAnchor>
  <xdr:twoCellAnchor>
    <xdr:from>
      <xdr:col>0</xdr:col>
      <xdr:colOff>0</xdr:colOff>
      <xdr:row>21</xdr:row>
      <xdr:rowOff>128060</xdr:rowOff>
    </xdr:from>
    <xdr:to>
      <xdr:col>0</xdr:col>
      <xdr:colOff>1009649</xdr:colOff>
      <xdr:row>21</xdr:row>
      <xdr:rowOff>437093</xdr:rowOff>
    </xdr:to>
    <xdr:sp macro="" textlink="">
      <xdr:nvSpPr>
        <xdr:cNvPr id="29" name="Arrow: Pentagon 28">
          <a:extLst>
            <a:ext uri="{FF2B5EF4-FFF2-40B4-BE49-F238E27FC236}">
              <a16:creationId xmlns:a16="http://schemas.microsoft.com/office/drawing/2014/main" id="{E34CDF35-C17D-712A-2FEF-A1FE7144FFD2}"/>
            </a:ext>
          </a:extLst>
        </xdr:cNvPr>
        <xdr:cNvSpPr/>
      </xdr:nvSpPr>
      <xdr:spPr>
        <a:xfrm>
          <a:off x="0" y="7906810"/>
          <a:ext cx="1009649" cy="309033"/>
        </a:xfrm>
        <a:prstGeom prst="homePlate">
          <a:avLst>
            <a:gd name="adj" fmla="val 32876"/>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1400" b="1" i="0" u="none" strike="noStrike" kern="1200" cap="none" spc="0" normalizeH="0" baseline="0" noProof="0">
              <a:ln>
                <a:noFill/>
              </a:ln>
              <a:solidFill>
                <a:srgbClr val="002060"/>
              </a:solidFill>
              <a:effectLst/>
              <a:uLnTx/>
              <a:uFillTx/>
              <a:latin typeface="ADLaM Display" panose="02010000000000000000" pitchFamily="2" charset="0"/>
              <a:ea typeface="ADLaM Display" panose="02010000000000000000" pitchFamily="2" charset="0"/>
              <a:cs typeface="ADLaM Display" panose="02010000000000000000" pitchFamily="2" charset="0"/>
            </a:rPr>
            <a:t>Output</a:t>
          </a:r>
        </a:p>
      </xdr:txBody>
    </xdr:sp>
    <xdr:clientData/>
  </xdr:twoCellAnchor>
  <mc:AlternateContent xmlns:mc="http://schemas.openxmlformats.org/markup-compatibility/2006">
    <mc:Choice xmlns:a14="http://schemas.microsoft.com/office/drawing/2010/main" Requires="a14">
      <xdr:twoCellAnchor>
        <xdr:from>
          <xdr:col>7</xdr:col>
          <xdr:colOff>685800</xdr:colOff>
          <xdr:row>23</xdr:row>
          <xdr:rowOff>66675</xdr:rowOff>
        </xdr:from>
        <xdr:to>
          <xdr:col>8</xdr:col>
          <xdr:colOff>57150</xdr:colOff>
          <xdr:row>24</xdr:row>
          <xdr:rowOff>142875</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400-000020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IN" sz="1800" b="1" i="0" u="none" strike="noStrike" baseline="0">
                  <a:solidFill>
                    <a:srgbClr val="000000"/>
                  </a:solidFill>
                  <a:latin typeface="Century Gothic"/>
                </a:rPr>
                <a:t>Print</a:t>
              </a:r>
            </a:p>
          </xdr:txBody>
        </xdr:sp>
        <xdr:clientData fLocksWithSheet="0" fPrintsWithSheet="0"/>
      </xdr:twoCellAnchor>
    </mc:Choice>
    <mc:Fallback/>
  </mc:AlternateContent>
  <xdr:twoCellAnchor>
    <xdr:from>
      <xdr:col>3</xdr:col>
      <xdr:colOff>846667</xdr:colOff>
      <xdr:row>55</xdr:row>
      <xdr:rowOff>31750</xdr:rowOff>
    </xdr:from>
    <xdr:to>
      <xdr:col>5</xdr:col>
      <xdr:colOff>613833</xdr:colOff>
      <xdr:row>56</xdr:row>
      <xdr:rowOff>95250</xdr:rowOff>
    </xdr:to>
    <xdr:sp macro="" textlink="">
      <xdr:nvSpPr>
        <xdr:cNvPr id="2" name="TextBox 1">
          <a:extLst>
            <a:ext uri="{FF2B5EF4-FFF2-40B4-BE49-F238E27FC236}">
              <a16:creationId xmlns:a16="http://schemas.microsoft.com/office/drawing/2014/main" id="{B5D76BC3-5996-284F-1E05-7B47A23CD35E}"/>
            </a:ext>
          </a:extLst>
        </xdr:cNvPr>
        <xdr:cNvSpPr txBox="1"/>
      </xdr:nvSpPr>
      <xdr:spPr>
        <a:xfrm>
          <a:off x="6593417" y="21092583"/>
          <a:ext cx="3312583" cy="27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 2025 Sagar S Kotian.All Rights Reserved</a:t>
          </a:r>
          <a:r>
            <a:rPr lang="en-IN" sz="1100"/>
            <a:t>.</a:t>
          </a:r>
        </a:p>
        <a:p>
          <a:endParaRPr lang="en-IN"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10ECC91-2995-4AB3-8E90-AB7BF17DF1F7}" autoFormatId="16" applyNumberFormats="0" applyBorderFormats="0" applyFontFormats="0" applyPatternFormats="0" applyAlignmentFormats="0" applyWidthHeightFormats="0">
  <queryTableRefresh nextId="5">
    <queryTableFields count="4">
      <queryTableField id="1" name="Product Name" tableColumnId="1"/>
      <queryTableField id="2" name="Type of test" tableColumnId="2"/>
      <queryTableField id="3" name="Attribute" tableColumnId="3"/>
      <queryTableField id="4" name="Value"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589FF41-FABF-4386-B088-597B2A07074E}" name="Table2__2" displayName="Table2__2" ref="A1:D552" tableType="queryTable" totalsRowShown="0">
  <autoFilter ref="A1:D552" xr:uid="{6589FF41-FABF-4386-B088-597B2A07074E}"/>
  <tableColumns count="4">
    <tableColumn id="1" xr3:uid="{6D859979-0DAE-4B45-8D51-DE1C46949254}" uniqueName="1" name="Product Name" queryTableFieldId="1" dataDxfId="56"/>
    <tableColumn id="2" xr3:uid="{723EC6B0-6C43-4FF3-9E6B-CF7E8C5B3B7C}" uniqueName="2" name="Type of test" queryTableFieldId="2" dataDxfId="55"/>
    <tableColumn id="3" xr3:uid="{194614B6-5675-439D-BFBD-3A09B566195D}" uniqueName="3" name="Attribute" queryTableFieldId="3" dataDxfId="54"/>
    <tableColumn id="4" xr3:uid="{A5E6FF92-5C25-424C-B4F5-CC39F7426799}" uniqueName="4" name="Value" queryTableFieldId="4" dataDxfId="5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A5CCDD-0EA4-4354-BD12-5B4D263FA887}" name="Table2" displayName="Table2" ref="A1:AV52" totalsRowShown="0" headerRowDxfId="52" dataDxfId="50" headerRowBorderDxfId="51" tableBorderDxfId="49" totalsRowBorderDxfId="48">
  <autoFilter ref="A1:AV52" xr:uid="{F9A5CCDD-0EA4-4354-BD12-5B4D263FA887}"/>
  <tableColumns count="48">
    <tableColumn id="1" xr3:uid="{F16F246F-6F29-4423-8C24-77922E4D7CBB}" name="S.no" dataDxfId="47"/>
    <tableColumn id="2" xr3:uid="{00789604-CF31-470C-9037-FADC65436F69}" name="Product Name" dataDxfId="46"/>
    <tableColumn id="3" xr3:uid="{9C666945-E891-48EA-B79D-4F77E44184E5}" name="Manufacturer" dataDxfId="45"/>
    <tableColumn id="4" xr3:uid="{9E24A7F0-5BD5-4D7A-B73E-82FD7BE9510B}" name="Stringent Regulatory Approvals" dataDxfId="44"/>
    <tableColumn id="5" xr3:uid="{201C937E-1A68-4B16-9C81-8A666F753CCF}" name="Traceable/Certifications" dataDxfId="43"/>
    <tableColumn id="6" xr3:uid="{AD2F59CB-B78B-407F-841C-4441E81C3F6F}" name="Method" dataDxfId="42"/>
    <tableColumn id="7" xr3:uid="{35CD2EC7-8ADB-401D-939D-5954B1A7AFF5}" name="Test Design" dataDxfId="41"/>
    <tableColumn id="8" xr3:uid="{57F8CA23-25D0-4BB0-9F4D-E5DD0343EE58}" name="Device Design" dataDxfId="40"/>
    <tableColumn id="9" xr3:uid="{5E330B4F-7383-48A7-A0D7-74DC30FD2615}" name="Dimensions in mm" dataDxfId="39"/>
    <tableColumn id="10" xr3:uid="{F67CE52C-487F-401C-B43E-CD2D15B24781}" name="Device weight in kg" dataDxfId="38"/>
    <tableColumn id="11" xr3:uid="{BCE07F06-B5BE-4073-8AAC-49F7AE08A2AC}" name="Additional Test" dataDxfId="37"/>
    <tableColumn id="12" xr3:uid="{892C997A-3F19-4739-9419-A386B919F3AC}" name="Use" dataDxfId="36"/>
    <tableColumn id="13" xr3:uid="{8D9EDB1A-CA7B-4D94-B5BD-A864DF7F33F9}" name="User" dataDxfId="35"/>
    <tableColumn id="14" xr3:uid="{19EEE1FF-8407-4A4B-A168-842E3CE9C669}" name="Type of Sample" dataDxfId="34"/>
    <tableColumn id="15" xr3:uid="{C045C71B-FFE4-4A50-90EF-B75EB2CA68E4}" name="Volume" dataDxfId="33"/>
    <tableColumn id="16" xr3:uid="{FF1F000B-69A6-4963-ACEF-6859E5FF8CBB}" name="Duration" dataDxfId="32"/>
    <tableColumn id="17" xr3:uid="{7888E4FF-4743-4F76-88F3-15CF22251FF2}" name="Reporting Units" dataDxfId="31"/>
    <tableColumn id="18" xr3:uid="{DDF62DF5-01EC-4A5A-B65A-05C7C48F1E11}" name="Sample Prep" dataDxfId="30"/>
    <tableColumn id="19" xr3:uid="{F507BF62-26B0-4CB0-8606-D24B6664D316}" name="Handling" dataDxfId="29"/>
    <tableColumn id="20" xr3:uid="{E547A818-7115-433C-9272-F9C0F58BC8DF}" name="Equipment " dataDxfId="28"/>
    <tableColumn id="21" xr3:uid="{225349BC-2AD2-4CEE-AB16-DC460B2ACC95}" name="Not provided" dataDxfId="27"/>
    <tableColumn id="22" xr3:uid="{3008B380-066F-4662-82F6-2024C05231AF}" name="Control" dataDxfId="26"/>
    <tableColumn id="23" xr3:uid="{D678CC4D-8715-412F-BD19-F6BBABFD9B62}" name="Calibration" dataDxfId="25"/>
    <tableColumn id="24" xr3:uid="{FD7EC107-5BD5-4A76-BEC6-7A95B9B37BC3}" name="Storage temeprature " dataDxfId="24"/>
    <tableColumn id="25" xr3:uid="{1B02CE3B-ACE7-4AE4-8455-7BED1F88646E}" name="Shelf life " dataDxfId="23"/>
    <tableColumn id="26" xr3:uid="{B3D619B6-C3E6-4089-82D8-90B05D4B5838}" name="Reference Range" dataDxfId="22"/>
    <tableColumn id="27" xr3:uid="{910AC99D-00CE-4F55-9F8A-359C476118D3}" name="Limitation" dataDxfId="21"/>
    <tableColumn id="28" xr3:uid="{F70F9CC1-DD40-4ED4-B729-42AD3DAEE1E0}" name="Precision" dataDxfId="20"/>
    <tableColumn id="29" xr3:uid="{1674E0DF-D1E4-4001-B2DB-E83FF2B6CC32}" name="Interference" dataDxfId="19"/>
    <tableColumn id="30" xr3:uid="{BF133D5C-DBC2-4934-B0FC-D590168BF0ED}" name="Data Export" dataDxfId="18"/>
    <tableColumn id="31" xr3:uid="{1B508ED4-1C14-4358-A9A1-E66E85DDFBCB}" name="Operating temperature" dataDxfId="17"/>
    <tableColumn id="32" xr3:uid="{4A191491-66BD-4FE7-BE08-441CB14C592E}" name="Humidity" dataDxfId="16"/>
    <tableColumn id="33" xr3:uid="{89EEF331-8A23-4FCD-B8F9-8BBA1FB6FF1C}" name="Power" dataDxfId="15"/>
    <tableColumn id="34" xr3:uid="{782C9B4A-CAE7-469D-A139-1339EBEA1250}" name="Display" dataDxfId="14"/>
    <tableColumn id="35" xr3:uid="{E9964527-41B5-4C4F-90CE-C47698283CF7}" name="Memory" dataDxfId="13"/>
    <tableColumn id="36" xr3:uid="{55D60F51-8122-4C7D-B9C4-5FB38C517A5B}" name="Resources" dataDxfId="12" dataCellStyle="Hyperlink"/>
    <tableColumn id="37" xr3:uid="{C50908F3-14C5-4CA5-B615-53B615BC2C23}" name="Bangladesh" dataDxfId="11"/>
    <tableColumn id="38" xr3:uid="{F42868C2-6D59-4E03-B9F1-F664CE89F978}" name="Bhutan" dataDxfId="10"/>
    <tableColumn id="39" xr3:uid="{11FD4568-0FB8-4CCE-AD87-886574E7EA9E}" name="Democratic People's Republic of Korea" dataDxfId="9"/>
    <tableColumn id="40" xr3:uid="{214A19FD-2501-4522-8AB4-A90A8A1BFB55}" name="India" dataDxfId="8"/>
    <tableColumn id="41" xr3:uid="{F238BC23-8587-4E29-9935-E1911917BDC1}" name="Indonesia" dataDxfId="7"/>
    <tableColumn id="42" xr3:uid="{A1EDB1B6-4B4B-47E7-8F0C-8B51A8DC7FDC}" name="Maldives" dataDxfId="6"/>
    <tableColumn id="43" xr3:uid="{29A6263D-62DE-4E16-905C-D8A1B55E611B}" name="Myanmar" dataDxfId="5"/>
    <tableColumn id="44" xr3:uid="{F2383D2A-D37B-4301-80DB-3479AADCC8A6}" name="Nepal" dataDxfId="4"/>
    <tableColumn id="45" xr3:uid="{CE0474D0-3223-45EE-BCD9-C97A61A1A25D}" name="Sri Lanka" dataDxfId="3"/>
    <tableColumn id="46" xr3:uid="{72859771-8D7F-43AC-A2AC-79041914F7E1}" name="Thailand" dataDxfId="2"/>
    <tableColumn id="47" xr3:uid="{DE895CEA-A3B2-41D9-91B5-279CEE6AA64A}" name="Timor-Leste" dataDxfId="1"/>
    <tableColumn id="48" xr3:uid="{12102119-50EC-4148-8E93-903E72C55E5E}" name="Type of test" dataDxfId="0"/>
  </tableColumns>
  <tableStyleInfo name="TableStyleMedium2"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fybreeds.com/userfiles/files/FA-160%C2%A0.pdf" TargetMode="External"/><Relationship Id="rId13" Type="http://schemas.openxmlformats.org/officeDocument/2006/relationships/hyperlink" Target="https://pathshodh.com/pathshodh-anuPath-glucose-HbA1c-meter" TargetMode="External"/><Relationship Id="rId18" Type="http://schemas.openxmlformats.org/officeDocument/2006/relationships/hyperlink" Target="http://www.microprofit-bio.com/products/Analyzer.html" TargetMode="External"/><Relationship Id="rId26" Type="http://schemas.openxmlformats.org/officeDocument/2006/relationships/hyperlink" Target="https://www.sinocare.com/en/proinfo_18.html" TargetMode="External"/><Relationship Id="rId3" Type="http://schemas.openxmlformats.org/officeDocument/2006/relationships/hyperlink" Target="https://www.globalpointofcare.abbott/ww/en/product-details/nycocard-reader.html" TargetMode="External"/><Relationship Id="rId21" Type="http://schemas.openxmlformats.org/officeDocument/2006/relationships/hyperlink" Target="https://www.getein.com/uploadfile/attachment/48c00e3934dd037f05e7f92c4369b778.pdf" TargetMode="External"/><Relationship Id="rId7" Type="http://schemas.openxmlformats.org/officeDocument/2006/relationships/hyperlink" Target="https://www.hipro.us/uploads/file/palm-reader-immunoassay-analyzer-brochure.pdf" TargetMode="External"/><Relationship Id="rId12" Type="http://schemas.openxmlformats.org/officeDocument/2006/relationships/hyperlink" Target="https://www.dxgenco.com/ep616" TargetMode="External"/><Relationship Id="rId17" Type="http://schemas.openxmlformats.org/officeDocument/2006/relationships/hyperlink" Target="https://www.alliedbiotech.co.in/allcare-aifa-100-ifa-analyzer.php" TargetMode="External"/><Relationship Id="rId25" Type="http://schemas.openxmlformats.org/officeDocument/2006/relationships/hyperlink" Target="https://www.sdbiosensor.com/product/product_view?product_no=89" TargetMode="External"/><Relationship Id="rId2" Type="http://schemas.openxmlformats.org/officeDocument/2006/relationships/hyperlink" Target="https://www.globalpointofcare.abbott/ww/en/product-details/nycocard-reader.html" TargetMode="External"/><Relationship Id="rId16" Type="http://schemas.openxmlformats.org/officeDocument/2006/relationships/hyperlink" Target="https://www.vectorbiotekindia.com/products_details.php?c_id=19" TargetMode="External"/><Relationship Id="rId20" Type="http://schemas.openxmlformats.org/officeDocument/2006/relationships/hyperlink" Target="https://www.sdbiosensor.com/product/product_view?product_no=178" TargetMode="External"/><Relationship Id="rId29" Type="http://schemas.openxmlformats.org/officeDocument/2006/relationships/hyperlink" Target="https://www.siemens-healthineers.com/en-in/diabetes/diabetes/dca-vantage-analyzer" TargetMode="External"/><Relationship Id="rId1" Type="http://schemas.openxmlformats.org/officeDocument/2006/relationships/hyperlink" Target="https://ethitech.co.za/wp-content/uploads/2019/05/SD-A1cCare-User-guide.pdf" TargetMode="External"/><Relationship Id="rId6" Type="http://schemas.openxmlformats.org/officeDocument/2006/relationships/hyperlink" Target="https://www.diasys.in/fileadmin/Diasys_India/QDx_Flyer/Instacheck_brochure_6_page_new_branding_single_page.pdf?_=1562911496" TargetMode="External"/><Relationship Id="rId11" Type="http://schemas.openxmlformats.org/officeDocument/2006/relationships/hyperlink" Target="https://www.getein.com/getein-1100-immunofluorescence-quantitative-analyzer_p24.html" TargetMode="External"/><Relationship Id="rId24" Type="http://schemas.openxmlformats.org/officeDocument/2006/relationships/hyperlink" Target="https://weldonbiotech.com/wp-content/uploads/2018/05/SMART-700-340-Flyer.pdf" TargetMode="External"/><Relationship Id="rId5" Type="http://schemas.openxmlformats.org/officeDocument/2006/relationships/hyperlink" Target="https://www.siemens-healthineers.com/en-th/diabetes/diabetes/atellica-dca-analyzer" TargetMode="External"/><Relationship Id="rId15" Type="http://schemas.openxmlformats.org/officeDocument/2006/relationships/hyperlink" Target="https://i-sens.com/point-of-care-testing/" TargetMode="External"/><Relationship Id="rId23" Type="http://schemas.openxmlformats.org/officeDocument/2006/relationships/hyperlink" Target="https://www.genrui-bio.com/products/quantitative-immunoassay-analyzer-fa50.html" TargetMode="External"/><Relationship Id="rId28" Type="http://schemas.openxmlformats.org/officeDocument/2006/relationships/hyperlink" Target="https://www.diasys-diagnostics.com/products/poct-systems/innovastar/" TargetMode="External"/><Relationship Id="rId10" Type="http://schemas.openxmlformats.org/officeDocument/2006/relationships/hyperlink" Target="https://www.siemens-healthineers.com/en-in/point-of-care-testing/aina" TargetMode="External"/><Relationship Id="rId19" Type="http://schemas.openxmlformats.org/officeDocument/2006/relationships/hyperlink" Target="https://www.sdbiosensor.com/product/product_view?product_no=179" TargetMode="External"/><Relationship Id="rId4" Type="http://schemas.openxmlformats.org/officeDocument/2006/relationships/hyperlink" Target="https://diagnostics.roche.com/global/en/products/instruments/cobas-b-101-ins-2892.html" TargetMode="External"/><Relationship Id="rId9" Type="http://schemas.openxmlformats.org/officeDocument/2006/relationships/hyperlink" Target="https://pdf.medicalexpo.com/pdf/mira-lab/finecare-fia-meter-plus/118462-184626-_3.html" TargetMode="External"/><Relationship Id="rId14" Type="http://schemas.openxmlformats.org/officeDocument/2006/relationships/hyperlink" Target="https://www.boditech.co.kr/en/support/id/246" TargetMode="External"/><Relationship Id="rId22" Type="http://schemas.openxmlformats.org/officeDocument/2006/relationships/hyperlink" Target="https://www.getein.com/fia-8000-quantitative-lmmunoassay-analyzer_p31.html" TargetMode="External"/><Relationship Id="rId27" Type="http://schemas.openxmlformats.org/officeDocument/2006/relationships/hyperlink" Target="https://www.eyva.io/" TargetMode="External"/><Relationship Id="rId30"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3" Type="http://schemas.openxmlformats.org/officeDocument/2006/relationships/hyperlink" Target="https://www.lumiradx.com/en-uk/products/hba1c" TargetMode="External"/><Relationship Id="rId18" Type="http://schemas.openxmlformats.org/officeDocument/2006/relationships/hyperlink" Target="https://www.isotekindo.co.id/product/details/9" TargetMode="External"/><Relationship Id="rId26" Type="http://schemas.openxmlformats.org/officeDocument/2006/relationships/hyperlink" Target="https://www.biozen.co.th/14717924/hba1c-aNolyzer,%20Biozen%20Co.,Ltd.%20Biozen23%20Soi%20Onnuch%2062,%20Onnuch,Suanluang,%20Bangkok%2010250,%20Thailand" TargetMode="External"/><Relationship Id="rId3" Type="http://schemas.openxmlformats.org/officeDocument/2006/relationships/hyperlink" Target="https://www.omnia-health.com/exhibitor/green-cross-medical-science-corp" TargetMode="External"/><Relationship Id="rId21" Type="http://schemas.openxmlformats.org/officeDocument/2006/relationships/hyperlink" Target="https://www.human.de/about-human/human-worldwide" TargetMode="External"/><Relationship Id="rId7" Type="http://schemas.openxmlformats.org/officeDocument/2006/relationships/hyperlink" Target="https://www.arkray.id/english/index.html?ct=Indonesia" TargetMode="External"/><Relationship Id="rId12" Type="http://schemas.openxmlformats.org/officeDocument/2006/relationships/hyperlink" Target="https://www.indiamart.com/proddetail/a1c-now-plus-diabetes-diagnose-system-14855653588.html%20%20%20%20%20%20%20%20%20%20PTS%20Diagnostics%20India%20Private%20Limited&#160;&#160;https:/ptsdiagnosticsindia.com/product/a1cnow/" TargetMode="External"/><Relationship Id="rId17" Type="http://schemas.openxmlformats.org/officeDocument/2006/relationships/hyperlink" Target="https://accurex.net/product/xpress-a1c-meter-hba1c/?srsltid=AfmBOorz4bh4sntApntucvEy6gvyt12_jBF3AaqI7Se_11ky4ErEvL3Y" TargetMode="External"/><Relationship Id="rId25" Type="http://schemas.openxmlformats.org/officeDocument/2006/relationships/hyperlink" Target="https://www.hemocue.in/en-in/health-areas/diabetes/launch-of-hemocue-hba1c/thailand-distributor,%20Thailand.%20%20Location.%20Distributor%20TECHNO%20MEDICAL%20PUBLIC%20COMPANY%20LIMITED%2029%20Soi%20Ladprao%2092.%20Wangthonglang%20Bangkok%2010310.%20Thailand.%20Phone.%20662-933-6112." TargetMode="External"/><Relationship Id="rId33" Type="http://schemas.openxmlformats.org/officeDocument/2006/relationships/hyperlink" Target="https://www.hospitalstore.com/accurex-xpress-a1c-handheld-hba1c-analyzer-approved-by-fda-result-in-just-5-minute/" TargetMode="External"/><Relationship Id="rId2" Type="http://schemas.openxmlformats.org/officeDocument/2006/relationships/hyperlink" Target="https://in.bimedis.com/ceragem-cera-stat-2000-m519200" TargetMode="External"/><Relationship Id="rId16" Type="http://schemas.openxmlformats.org/officeDocument/2006/relationships/hyperlink" Target="https://www.biozen.co.th/14717924/hba1c-analyzer" TargetMode="External"/><Relationship Id="rId20" Type="http://schemas.openxmlformats.org/officeDocument/2006/relationships/hyperlink" Target="https://www.biohermes.com/products/show-26.html" TargetMode="External"/><Relationship Id="rId29" Type="http://schemas.openxmlformats.org/officeDocument/2006/relationships/hyperlink" Target="https://www.ekfdiagnostics.com/point-of-care/diabetes/quo-test/" TargetMode="External"/><Relationship Id="rId1" Type="http://schemas.openxmlformats.org/officeDocument/2006/relationships/hyperlink" Target="http://www.greencrossms.com/eng/product/productView.do?code1=006&amp;code2=006001&amp;productSeq=106" TargetMode="External"/><Relationship Id="rId6" Type="http://schemas.openxmlformats.org/officeDocument/2006/relationships/hyperlink" Target="https://www.diasys.in/poct/table-top-devices/qdx-a1c-advance/" TargetMode="External"/><Relationship Id="rId11" Type="http://schemas.openxmlformats.org/officeDocument/2006/relationships/hyperlink" Target="https://www.ptsdiagnostics.com/a1cnow-plus-system/" TargetMode="External"/><Relationship Id="rId24" Type="http://schemas.openxmlformats.org/officeDocument/2006/relationships/hyperlink" Target="https://www.indiamart.com/nishka-medicaids/search.html?ss=HbA1c+test+LumiraDx%20%22Nishka%20Medicaids%22,%20Ahmedabad%20Gujarat.%20Ph.no:%2007949087897" TargetMode="External"/><Relationship Id="rId32" Type="http://schemas.openxmlformats.org/officeDocument/2006/relationships/hyperlink" Target="https://www.arkray.co.in/english/products/pocketchem.html" TargetMode="External"/><Relationship Id="rId5" Type="http://schemas.openxmlformats.org/officeDocument/2006/relationships/hyperlink" Target="https://www.kannuimpex.com/" TargetMode="External"/><Relationship Id="rId15" Type="http://schemas.openxmlformats.org/officeDocument/2006/relationships/hyperlink" Target="http://www.gcmedis.com/src/sub231.php?ckattempt=1" TargetMode="External"/><Relationship Id="rId23" Type="http://schemas.openxmlformats.org/officeDocument/2006/relationships/hyperlink" Target="https://www.kannuimpex.com/" TargetMode="External"/><Relationship Id="rId28" Type="http://schemas.openxmlformats.org/officeDocument/2006/relationships/hyperlink" Target="https://www.hemocue.com/en/" TargetMode="External"/><Relationship Id="rId10" Type="http://schemas.openxmlformats.org/officeDocument/2006/relationships/hyperlink" Target="https://www.rajbiosis.com/" TargetMode="External"/><Relationship Id="rId19" Type="http://schemas.openxmlformats.org/officeDocument/2006/relationships/hyperlink" Target="https://www.ekfdiagnostics.com/point-of-care/diabetes/quo-lab/" TargetMode="External"/><Relationship Id="rId31" Type="http://schemas.openxmlformats.org/officeDocument/2006/relationships/hyperlink" Target="https://www.osanghc.com/en/customer_en/archive/?mod=document&amp;uid=117" TargetMode="External"/><Relationship Id="rId4" Type="http://schemas.openxmlformats.org/officeDocument/2006/relationships/hyperlink" Target="https://www.osanghc.com/en/products_en/glycated-hemoglobin/" TargetMode="External"/><Relationship Id="rId9" Type="http://schemas.openxmlformats.org/officeDocument/2006/relationships/hyperlink" Target="https://www.osanghc.com/en/home_en/" TargetMode="External"/><Relationship Id="rId14" Type="http://schemas.openxmlformats.org/officeDocument/2006/relationships/hyperlink" Target="https://www.biohermes.com/index.php?c=show&amp;id=29" TargetMode="External"/><Relationship Id="rId22" Type="http://schemas.openxmlformats.org/officeDocument/2006/relationships/hyperlink" Target="https://ethitech.co.za/wp-content/uploads/2019/05/SD-A1cCare-User-guide.pdf" TargetMode="External"/><Relationship Id="rId27" Type="http://schemas.openxmlformats.org/officeDocument/2006/relationships/hyperlink" Target="https://www.hospitalstore.com/sd-bosensor-a1ccare-rt-pcr-machine-price/,%20Address:%20%22Medsun%20Biomedical%20Technologies%20pvt%20ltd%22.%20Building%20no.49,%20Hasanpur,%20IP%20extension,%20Delhi%20110092" TargetMode="External"/><Relationship Id="rId30" Type="http://schemas.openxmlformats.org/officeDocument/2006/relationships/hyperlink" Target="https://www.cadenamedical.com/%20%20https:/www.indiamart.com/proddetail/hba1c-analyzer-9079685062.html" TargetMode="External"/><Relationship Id="rId8" Type="http://schemas.openxmlformats.org/officeDocument/2006/relationships/hyperlink" Target="https://emedis.id/product/hba1c-analyzer-clover-a1c-self/%20%20%20%20%20%20%20%20The%20Mansion%20OfficeTower%20Fontana,%20Unit%20BF-26K1Jakarta%20Utara,%2014410"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www.hipro.us/uploads/file/palm-reader-immunoassay-analyzer-brochure.pdf" TargetMode="External"/><Relationship Id="rId21" Type="http://schemas.openxmlformats.org/officeDocument/2006/relationships/hyperlink" Target="https://www.globalpointofcare.abbott/us/en/support/product-demos/afinion.html" TargetMode="External"/><Relationship Id="rId42" Type="http://schemas.openxmlformats.org/officeDocument/2006/relationships/hyperlink" Target="https://www.globalpointofcare.abbott/ww/en/product-details/afinion2-analyzer.html" TargetMode="External"/><Relationship Id="rId47" Type="http://schemas.openxmlformats.org/officeDocument/2006/relationships/hyperlink" Target="http://www.microprofit-bio.com/products/Analyzer.html" TargetMode="External"/><Relationship Id="rId63" Type="http://schemas.openxmlformats.org/officeDocument/2006/relationships/hyperlink" Target="https://www.getein.com/getein-1160-immunofluorescence-quantitative-analyzer_p91.html" TargetMode="External"/><Relationship Id="rId68" Type="http://schemas.openxmlformats.org/officeDocument/2006/relationships/hyperlink" Target="https://www.medicalsearch.com.au/siemens-healthineers-diabetes-analysers-atellica-dca-analyzer/p/262529" TargetMode="External"/><Relationship Id="rId7" Type="http://schemas.openxmlformats.org/officeDocument/2006/relationships/hyperlink" Target="https://zoe.co.id/product/boditech/ichroma" TargetMode="External"/><Relationship Id="rId2" Type="http://schemas.openxmlformats.org/officeDocument/2006/relationships/hyperlink" Target="https://www.amdmyanmar.com/product/afinion-2/" TargetMode="External"/><Relationship Id="rId16" Type="http://schemas.openxmlformats.org/officeDocument/2006/relationships/hyperlink" Target="https://www.siemens-healthineers.com/en-in/corporate-info,%20Unit%20No.%209A,%209th%20Floor,%20North%20Tower,%20Godrej%20One,Pirojshanagar,%20Eastern%20Express%20Highway,Vikhroli%20East,%20Mumbai%20&#8211;%20400%20079IndiaTel:%20+91%20022-3370%200600" TargetMode="External"/><Relationship Id="rId29" Type="http://schemas.openxmlformats.org/officeDocument/2006/relationships/hyperlink" Target="https://www.immunoshop.com/" TargetMode="External"/><Relationship Id="rId11" Type="http://schemas.openxmlformats.org/officeDocument/2006/relationships/hyperlink" Target="https://www.amdmyanmar.com/product/afinion-2/" TargetMode="External"/><Relationship Id="rId24" Type="http://schemas.openxmlformats.org/officeDocument/2006/relationships/hyperlink" Target="https://www.isotekindo.co.id/product/details/222%20%20%20Jl.%20Raya%20Kebayoran%20Lama%20No.309%20C%20Grogol%20Utara,%20Kebayoran%20Lama%20Jakarta%20Selatan%2012210" TargetMode="External"/><Relationship Id="rId32" Type="http://schemas.openxmlformats.org/officeDocument/2006/relationships/hyperlink" Target="https://starbiomed.com/" TargetMode="External"/><Relationship Id="rId37" Type="http://schemas.openxmlformats.org/officeDocument/2006/relationships/hyperlink" Target="https://www.medlabasia.com/en/home.html" TargetMode="External"/><Relationship Id="rId40" Type="http://schemas.openxmlformats.org/officeDocument/2006/relationships/hyperlink" Target="https://pathshodh.com/pathshodh-anuPath-glucose-HbA1c-meter" TargetMode="External"/><Relationship Id="rId45" Type="http://schemas.openxmlformats.org/officeDocument/2006/relationships/hyperlink" Target="https://www.vectorbiotekindia.com/products_details.php?c_id=19" TargetMode="External"/><Relationship Id="rId53" Type="http://schemas.openxmlformats.org/officeDocument/2006/relationships/hyperlink" Target="https://weldonbiotech.com/wp-content/uploads/2018/05/SMART-700-340-Flyer.pdf" TargetMode="External"/><Relationship Id="rId58" Type="http://schemas.openxmlformats.org/officeDocument/2006/relationships/hyperlink" Target="https://www.siemens-healthineers.com/en-in/diabetes/diabetes/dca-vantage-analyzer" TargetMode="External"/><Relationship Id="rId66" Type="http://schemas.openxmlformats.org/officeDocument/2006/relationships/hyperlink" Target="https://hmpl.com.mm/en%20%20%20No.449(A)4,%20Moe%20Ma%20Kha%20Street,%20Bo%20Cho%202nd%20Quarter,%20Bahan%20Township,%20Yangon,%20Yangon,%20Myanmar" TargetMode="External"/><Relationship Id="rId5" Type="http://schemas.openxmlformats.org/officeDocument/2006/relationships/hyperlink" Target="http://kindiagnostics.com/ichroma-ii-reader.php" TargetMode="External"/><Relationship Id="rId61" Type="http://schemas.openxmlformats.org/officeDocument/2006/relationships/hyperlink" Target="https://www.genrui-bio.com/live-from-bangkok-genrui-at-medlab-asia--asia-heal.html" TargetMode="External"/><Relationship Id="rId19" Type="http://schemas.openxmlformats.org/officeDocument/2006/relationships/hyperlink" Target="https://www.bio-techbd.com/product/immunofluorescence-analyzer-gp-1160" TargetMode="External"/><Relationship Id="rId14" Type="http://schemas.openxmlformats.org/officeDocument/2006/relationships/hyperlink" Target="https://e-katalog.lkpp.go.id/katalog.produkctr/getdetailproductcenter?id=1468662" TargetMode="External"/><Relationship Id="rId22" Type="http://schemas.openxmlformats.org/officeDocument/2006/relationships/hyperlink" Target="https://www.biozen.co.th/14717924/hba1c-analyzer" TargetMode="External"/><Relationship Id="rId27" Type="http://schemas.openxmlformats.org/officeDocument/2006/relationships/hyperlink" Target="https://fybreeds.com/userfiles/files/FA-160%C2%A0.pdf" TargetMode="External"/><Relationship Id="rId30" Type="http://schemas.openxmlformats.org/officeDocument/2006/relationships/hyperlink" Target="https://www.medlabasia.com/en/home.html" TargetMode="External"/><Relationship Id="rId35" Type="http://schemas.openxmlformats.org/officeDocument/2006/relationships/hyperlink" Target="https://www.siemens-healthineers.com/en-in/point-of-care-testing/aina" TargetMode="External"/><Relationship Id="rId43" Type="http://schemas.openxmlformats.org/officeDocument/2006/relationships/hyperlink" Target="https://www.boditech.co.kr/en/support/id/246" TargetMode="External"/><Relationship Id="rId48" Type="http://schemas.openxmlformats.org/officeDocument/2006/relationships/hyperlink" Target="https://www.sdbiosensor.com/product/product_view?product_no=179" TargetMode="External"/><Relationship Id="rId56" Type="http://schemas.openxmlformats.org/officeDocument/2006/relationships/hyperlink" Target="https://www.eyva.io/" TargetMode="External"/><Relationship Id="rId64" Type="http://schemas.openxmlformats.org/officeDocument/2006/relationships/hyperlink" Target="https://novabiomedical.com/allegro/index.php" TargetMode="External"/><Relationship Id="rId69" Type="http://schemas.openxmlformats.org/officeDocument/2006/relationships/hyperlink" Target="https://www.eyva.io/" TargetMode="External"/><Relationship Id="rId8" Type="http://schemas.openxmlformats.org/officeDocument/2006/relationships/hyperlink" Target="https://www.medistorebd.com/product/i-chroma-ii-immunoassay-reader/" TargetMode="External"/><Relationship Id="rId51" Type="http://schemas.openxmlformats.org/officeDocument/2006/relationships/hyperlink" Target="https://www.getein.com/fia-8000-quantitative-lmmunoassay-analyzer_p31.html" TargetMode="External"/><Relationship Id="rId3" Type="http://schemas.openxmlformats.org/officeDocument/2006/relationships/hyperlink" Target="https://www.globalpointofcare.abbott/ww/en/global-sites.html" TargetMode="External"/><Relationship Id="rId12" Type="http://schemas.openxmlformats.org/officeDocument/2006/relationships/hyperlink" Target="https://www.diagnosolhealthtech.com/" TargetMode="External"/><Relationship Id="rId17" Type="http://schemas.openxmlformats.org/officeDocument/2006/relationships/hyperlink" Target="https://www.siemens-healthineers.com/en-th/diabetes/diabetes/atellica-dca-analyzer" TargetMode="External"/><Relationship Id="rId25" Type="http://schemas.openxmlformats.org/officeDocument/2006/relationships/hyperlink" Target="https://www.diasys.in/fileadmin/Diasys_India/QDx_Flyer/Instacheck_brochure_6_page_new_branding_single_page.pdf?_=1562911496" TargetMode="External"/><Relationship Id="rId33" Type="http://schemas.openxmlformats.org/officeDocument/2006/relationships/hyperlink" Target="https://www.medistorebd.com/product/fine-care-analyzer/,%20Suite" TargetMode="External"/><Relationship Id="rId38" Type="http://schemas.openxmlformats.org/officeDocument/2006/relationships/hyperlink" Target="https://www.getein.com/getein-1100-immunofluorescence-quantitative-analyzer_p24.html" TargetMode="External"/><Relationship Id="rId46" Type="http://schemas.openxmlformats.org/officeDocument/2006/relationships/hyperlink" Target="https://www.alliedbiotech.co.in/allcare-aifa-100-ifa-analyzer.php" TargetMode="External"/><Relationship Id="rId59" Type="http://schemas.openxmlformats.org/officeDocument/2006/relationships/hyperlink" Target="https://www.omnia-health.com/product/poct-hba1c-analyzer" TargetMode="External"/><Relationship Id="rId67" Type="http://schemas.openxmlformats.org/officeDocument/2006/relationships/hyperlink" Target="https://www.medicalsearch.com.au/siemens-healthineers-diabetes-analysers-atellica-dca-analyzer/p/262529" TargetMode="External"/><Relationship Id="rId20" Type="http://schemas.openxmlformats.org/officeDocument/2006/relationships/hyperlink" Target="https://www.omnia-health.com/product/allegro%C2%AE" TargetMode="External"/><Relationship Id="rId41" Type="http://schemas.openxmlformats.org/officeDocument/2006/relationships/hyperlink" Target="https://hmpl.com.mm/en,%20No.449(A)4,%20Moe%20Ma%20Kha%20Street,%20Bo%20Cho%202nd%20Quarter,%20Bahan%20Township,%20Yangon,%20Yangon,%20Myanmar,%20Phone%20Number+959%20797%20357%20000" TargetMode="External"/><Relationship Id="rId54" Type="http://schemas.openxmlformats.org/officeDocument/2006/relationships/hyperlink" Target="https://www.sdbiosensor.com/product/product_view?product_no=89" TargetMode="External"/><Relationship Id="rId62" Type="http://schemas.openxmlformats.org/officeDocument/2006/relationships/hyperlink" Target="https://www.boditech.co.kr/en/product/instruments/id/4" TargetMode="External"/><Relationship Id="rId1" Type="http://schemas.openxmlformats.org/officeDocument/2006/relationships/hyperlink" Target="https://medtechmaldives.com/products/afinion-2-7799" TargetMode="External"/><Relationship Id="rId6" Type="http://schemas.openxmlformats.org/officeDocument/2006/relationships/hyperlink" Target="https://www.medlabasia.com/en/home.html" TargetMode="External"/><Relationship Id="rId15" Type="http://schemas.openxmlformats.org/officeDocument/2006/relationships/hyperlink" Target="https://biotechservices-bd.com/" TargetMode="External"/><Relationship Id="rId23" Type="http://schemas.openxmlformats.org/officeDocument/2006/relationships/hyperlink" Target="https://www.rajbiosis.com/" TargetMode="External"/><Relationship Id="rId28" Type="http://schemas.openxmlformats.org/officeDocument/2006/relationships/hyperlink" Target="https://healthaid.com.bd/product/lifotronic-fa-160-immunofluorescence-analyzer/" TargetMode="External"/><Relationship Id="rId36" Type="http://schemas.openxmlformats.org/officeDocument/2006/relationships/hyperlink" Target="https://e-katalog.lkpp.go.id/katalog/produk/detail/76999143" TargetMode="External"/><Relationship Id="rId49" Type="http://schemas.openxmlformats.org/officeDocument/2006/relationships/hyperlink" Target="https://www.sdbiosensor.com/product/product_view?product_no=178" TargetMode="External"/><Relationship Id="rId57" Type="http://schemas.openxmlformats.org/officeDocument/2006/relationships/hyperlink" Target="https://www.diasys-diagnostics.com/products/poct-systems/innovastar/" TargetMode="External"/><Relationship Id="rId10" Type="http://schemas.openxmlformats.org/officeDocument/2006/relationships/hyperlink" Target="https://www.globalpointofcare.abbott/ww/en/global-sites.html" TargetMode="External"/><Relationship Id="rId31" Type="http://schemas.openxmlformats.org/officeDocument/2006/relationships/hyperlink" Target="https://biomedmyanmar.com/products/11/wondfo" TargetMode="External"/><Relationship Id="rId44" Type="http://schemas.openxmlformats.org/officeDocument/2006/relationships/hyperlink" Target="https://i-sens.com/point-of-care-testing/" TargetMode="External"/><Relationship Id="rId52" Type="http://schemas.openxmlformats.org/officeDocument/2006/relationships/hyperlink" Target="https://www.genrui-bio.com/products/quantitative-immunoassay-analyzer-fa50.html" TargetMode="External"/><Relationship Id="rId60" Type="http://schemas.openxmlformats.org/officeDocument/2006/relationships/hyperlink" Target="https://www.hospitalstore.com/dxgen-epithod616-hba1c-analyzer-hplc/?srsltid=AfmBOoouKWvlN1YtnVEqXjdD6tQR6E3nFB3NmetMGfhnaEDvrrMoN51F,%20Medsun%20Biomedical%20Technologies%20pvt.ltd.%20Building%20no.49,%20Hasanpur,%20IP%20extension,%20Delhi%20110092,%20ph.no;%2091-98715-08509" TargetMode="External"/><Relationship Id="rId65" Type="http://schemas.openxmlformats.org/officeDocument/2006/relationships/hyperlink" Target="https://www.siemens-healthineers.com/en-in/corporate-info,%20Unit%20No.%209A,%209th%20Floor,%20North%20Tower,%20Godrej%20One,Pirojshanagar,%20Eastern%20Express%20Highway,Vikhroli%20East,%20Mumbai%20&#8211;%20400%20079IndiaTel:%20+91%20022-3370%200600" TargetMode="External"/><Relationship Id="rId4" Type="http://schemas.openxmlformats.org/officeDocument/2006/relationships/hyperlink" Target="https://www.globalpointofcare.abbott/ww/en/product-details/nycocard-reader.html" TargetMode="External"/><Relationship Id="rId9" Type="http://schemas.openxmlformats.org/officeDocument/2006/relationships/hyperlink" Target="https://www.globalpointofcare.abbott/ww/en/product-details/nycocard-reader.html" TargetMode="External"/><Relationship Id="rId13" Type="http://schemas.openxmlformats.org/officeDocument/2006/relationships/hyperlink" Target="https://diagnostics.roche.com/global/en/products/instruments/cobas-b-101-ins-2892.html" TargetMode="External"/><Relationship Id="rId18" Type="http://schemas.openxmlformats.org/officeDocument/2006/relationships/hyperlink" Target="https://www.diasys.in/" TargetMode="External"/><Relationship Id="rId39" Type="http://schemas.openxmlformats.org/officeDocument/2006/relationships/hyperlink" Target="https://www.dxgenco.com/ep616" TargetMode="External"/><Relationship Id="rId34" Type="http://schemas.openxmlformats.org/officeDocument/2006/relationships/hyperlink" Target="https://pdf.medicalexpo.com/pdf/mira-lab/finecare-fia-meter-plus/118462-184626-_3.html" TargetMode="External"/><Relationship Id="rId50" Type="http://schemas.openxmlformats.org/officeDocument/2006/relationships/hyperlink" Target="https://www.getein.com/uploadfile/attachment/48c00e3934dd037f05e7f92c4369b778.pdf" TargetMode="External"/><Relationship Id="rId55" Type="http://schemas.openxmlformats.org/officeDocument/2006/relationships/hyperlink" Target="https://www.sinocare.com/en/proinfo_18.html" TargetMode="External"/></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10" Type="http://schemas.openxmlformats.org/officeDocument/2006/relationships/ctrlProp" Target="../ctrlProps/ctrlProp2.xml"/><Relationship Id="rId4" Type="http://schemas.openxmlformats.org/officeDocument/2006/relationships/image" Target="../media/image1.jpeg"/><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34402-37E8-438F-B2C7-843C82B5DCD5}">
  <sheetPr codeName="Sheet3"/>
  <dimension ref="A1:D551"/>
  <sheetViews>
    <sheetView topLeftCell="A538" workbookViewId="0">
      <selection activeCell="C556" sqref="C556"/>
    </sheetView>
  </sheetViews>
  <sheetFormatPr defaultRowHeight="16.5" x14ac:dyDescent="0.3"/>
  <cols>
    <col min="1" max="1" width="55.625" customWidth="1"/>
    <col min="2" max="2" width="19.25" customWidth="1"/>
    <col min="3" max="3" width="32.875" customWidth="1"/>
    <col min="4" max="4" width="33.375" customWidth="1"/>
  </cols>
  <sheetData>
    <row r="1" spans="1:4" x14ac:dyDescent="0.3">
      <c r="A1" t="s">
        <v>0</v>
      </c>
      <c r="B1" t="s">
        <v>1</v>
      </c>
      <c r="C1" t="s">
        <v>2</v>
      </c>
      <c r="D1" t="s">
        <v>3</v>
      </c>
    </row>
    <row r="2" spans="1:4" x14ac:dyDescent="0.3">
      <c r="A2" t="s">
        <v>4</v>
      </c>
      <c r="B2" t="s">
        <v>5</v>
      </c>
      <c r="C2" t="s">
        <v>6</v>
      </c>
      <c r="D2" t="s">
        <v>7</v>
      </c>
    </row>
    <row r="3" spans="1:4" x14ac:dyDescent="0.3">
      <c r="A3" t="s">
        <v>4</v>
      </c>
      <c r="B3" t="s">
        <v>5</v>
      </c>
      <c r="C3" t="s">
        <v>8</v>
      </c>
      <c r="D3" t="s">
        <v>7</v>
      </c>
    </row>
    <row r="4" spans="1:4" x14ac:dyDescent="0.3">
      <c r="A4" t="s">
        <v>4</v>
      </c>
      <c r="B4" t="s">
        <v>5</v>
      </c>
      <c r="C4" t="s">
        <v>9</v>
      </c>
      <c r="D4" t="s">
        <v>7</v>
      </c>
    </row>
    <row r="5" spans="1:4" x14ac:dyDescent="0.3">
      <c r="A5" t="s">
        <v>4</v>
      </c>
      <c r="B5" t="s">
        <v>5</v>
      </c>
      <c r="C5" t="s">
        <v>10</v>
      </c>
      <c r="D5" t="s">
        <v>11</v>
      </c>
    </row>
    <row r="6" spans="1:4" x14ac:dyDescent="0.3">
      <c r="A6" t="s">
        <v>4</v>
      </c>
      <c r="B6" t="s">
        <v>5</v>
      </c>
      <c r="C6" t="s">
        <v>12</v>
      </c>
      <c r="D6" t="s">
        <v>13</v>
      </c>
    </row>
    <row r="7" spans="1:4" x14ac:dyDescent="0.3">
      <c r="A7" t="s">
        <v>4</v>
      </c>
      <c r="B7" t="s">
        <v>5</v>
      </c>
      <c r="C7" t="s">
        <v>14</v>
      </c>
      <c r="D7" t="s">
        <v>7</v>
      </c>
    </row>
    <row r="8" spans="1:4" x14ac:dyDescent="0.3">
      <c r="A8" t="s">
        <v>4</v>
      </c>
      <c r="B8" t="s">
        <v>5</v>
      </c>
      <c r="C8" t="s">
        <v>15</v>
      </c>
      <c r="D8" t="s">
        <v>7</v>
      </c>
    </row>
    <row r="9" spans="1:4" x14ac:dyDescent="0.3">
      <c r="A9" t="s">
        <v>4</v>
      </c>
      <c r="B9" t="s">
        <v>5</v>
      </c>
      <c r="C9" t="s">
        <v>16</v>
      </c>
      <c r="D9" t="s">
        <v>7</v>
      </c>
    </row>
    <row r="10" spans="1:4" x14ac:dyDescent="0.3">
      <c r="A10" t="s">
        <v>4</v>
      </c>
      <c r="B10" t="s">
        <v>5</v>
      </c>
      <c r="C10" t="s">
        <v>17</v>
      </c>
      <c r="D10" t="s">
        <v>7</v>
      </c>
    </row>
    <row r="11" spans="1:4" x14ac:dyDescent="0.3">
      <c r="A11" t="s">
        <v>4</v>
      </c>
      <c r="B11" t="s">
        <v>5</v>
      </c>
      <c r="C11" t="s">
        <v>18</v>
      </c>
      <c r="D11" t="s">
        <v>7</v>
      </c>
    </row>
    <row r="12" spans="1:4" x14ac:dyDescent="0.3">
      <c r="A12" t="s">
        <v>4</v>
      </c>
      <c r="B12" t="s">
        <v>5</v>
      </c>
      <c r="C12" t="s">
        <v>19</v>
      </c>
      <c r="D12" t="s">
        <v>7</v>
      </c>
    </row>
    <row r="13" spans="1:4" x14ac:dyDescent="0.3">
      <c r="A13" t="s">
        <v>20</v>
      </c>
      <c r="B13" t="s">
        <v>21</v>
      </c>
      <c r="C13" t="s">
        <v>6</v>
      </c>
      <c r="D13" t="s">
        <v>7</v>
      </c>
    </row>
    <row r="14" spans="1:4" x14ac:dyDescent="0.3">
      <c r="A14" t="s">
        <v>20</v>
      </c>
      <c r="B14" t="s">
        <v>21</v>
      </c>
      <c r="C14" t="s">
        <v>8</v>
      </c>
      <c r="D14" t="s">
        <v>7</v>
      </c>
    </row>
    <row r="15" spans="1:4" x14ac:dyDescent="0.3">
      <c r="A15" t="s">
        <v>20</v>
      </c>
      <c r="B15" t="s">
        <v>21</v>
      </c>
      <c r="C15" t="s">
        <v>9</v>
      </c>
      <c r="D15" t="s">
        <v>7</v>
      </c>
    </row>
    <row r="16" spans="1:4" x14ac:dyDescent="0.3">
      <c r="A16" t="s">
        <v>20</v>
      </c>
      <c r="B16" t="s">
        <v>21</v>
      </c>
      <c r="C16" t="s">
        <v>10</v>
      </c>
      <c r="D16" t="s">
        <v>11</v>
      </c>
    </row>
    <row r="17" spans="1:4" x14ac:dyDescent="0.3">
      <c r="A17" t="s">
        <v>20</v>
      </c>
      <c r="B17" t="s">
        <v>21</v>
      </c>
      <c r="C17" t="s">
        <v>12</v>
      </c>
      <c r="D17" t="s">
        <v>7</v>
      </c>
    </row>
    <row r="18" spans="1:4" x14ac:dyDescent="0.3">
      <c r="A18" t="s">
        <v>20</v>
      </c>
      <c r="B18" t="s">
        <v>21</v>
      </c>
      <c r="C18" t="s">
        <v>14</v>
      </c>
      <c r="D18" t="s">
        <v>7</v>
      </c>
    </row>
    <row r="19" spans="1:4" x14ac:dyDescent="0.3">
      <c r="A19" t="s">
        <v>20</v>
      </c>
      <c r="B19" t="s">
        <v>21</v>
      </c>
      <c r="C19" t="s">
        <v>15</v>
      </c>
      <c r="D19" t="s">
        <v>7</v>
      </c>
    </row>
    <row r="20" spans="1:4" x14ac:dyDescent="0.3">
      <c r="A20" t="s">
        <v>20</v>
      </c>
      <c r="B20" t="s">
        <v>21</v>
      </c>
      <c r="C20" t="s">
        <v>16</v>
      </c>
      <c r="D20" t="s">
        <v>7</v>
      </c>
    </row>
    <row r="21" spans="1:4" x14ac:dyDescent="0.3">
      <c r="A21" t="s">
        <v>20</v>
      </c>
      <c r="B21" t="s">
        <v>21</v>
      </c>
      <c r="C21" t="s">
        <v>17</v>
      </c>
      <c r="D21" t="s">
        <v>7</v>
      </c>
    </row>
    <row r="22" spans="1:4" x14ac:dyDescent="0.3">
      <c r="A22" t="s">
        <v>20</v>
      </c>
      <c r="B22" t="s">
        <v>21</v>
      </c>
      <c r="C22" t="s">
        <v>18</v>
      </c>
      <c r="D22" t="s">
        <v>7</v>
      </c>
    </row>
    <row r="23" spans="1:4" x14ac:dyDescent="0.3">
      <c r="A23" t="s">
        <v>20</v>
      </c>
      <c r="B23" t="s">
        <v>21</v>
      </c>
      <c r="C23" t="s">
        <v>19</v>
      </c>
      <c r="D23" t="s">
        <v>7</v>
      </c>
    </row>
    <row r="24" spans="1:4" x14ac:dyDescent="0.3">
      <c r="A24" t="s">
        <v>22</v>
      </c>
      <c r="B24" t="s">
        <v>21</v>
      </c>
      <c r="C24" t="s">
        <v>6</v>
      </c>
      <c r="D24" t="s">
        <v>7</v>
      </c>
    </row>
    <row r="25" spans="1:4" x14ac:dyDescent="0.3">
      <c r="A25" t="s">
        <v>22</v>
      </c>
      <c r="B25" t="s">
        <v>21</v>
      </c>
      <c r="C25" t="s">
        <v>8</v>
      </c>
      <c r="D25" t="s">
        <v>7</v>
      </c>
    </row>
    <row r="26" spans="1:4" x14ac:dyDescent="0.3">
      <c r="A26" t="s">
        <v>22</v>
      </c>
      <c r="B26" t="s">
        <v>21</v>
      </c>
      <c r="C26" t="s">
        <v>9</v>
      </c>
      <c r="D26" t="s">
        <v>7</v>
      </c>
    </row>
    <row r="27" spans="1:4" x14ac:dyDescent="0.3">
      <c r="A27" t="s">
        <v>22</v>
      </c>
      <c r="B27" t="s">
        <v>21</v>
      </c>
      <c r="C27" t="s">
        <v>10</v>
      </c>
      <c r="D27" t="s">
        <v>11</v>
      </c>
    </row>
    <row r="28" spans="1:4" x14ac:dyDescent="0.3">
      <c r="A28" t="s">
        <v>22</v>
      </c>
      <c r="B28" t="s">
        <v>21</v>
      </c>
      <c r="C28" t="s">
        <v>12</v>
      </c>
      <c r="D28" t="s">
        <v>7</v>
      </c>
    </row>
    <row r="29" spans="1:4" x14ac:dyDescent="0.3">
      <c r="A29" t="s">
        <v>22</v>
      </c>
      <c r="B29" t="s">
        <v>21</v>
      </c>
      <c r="C29" t="s">
        <v>14</v>
      </c>
      <c r="D29" t="s">
        <v>7</v>
      </c>
    </row>
    <row r="30" spans="1:4" x14ac:dyDescent="0.3">
      <c r="A30" t="s">
        <v>22</v>
      </c>
      <c r="B30" t="s">
        <v>21</v>
      </c>
      <c r="C30" t="s">
        <v>15</v>
      </c>
      <c r="D30" t="s">
        <v>7</v>
      </c>
    </row>
    <row r="31" spans="1:4" x14ac:dyDescent="0.3">
      <c r="A31" t="s">
        <v>22</v>
      </c>
      <c r="B31" t="s">
        <v>21</v>
      </c>
      <c r="C31" t="s">
        <v>16</v>
      </c>
      <c r="D31" t="s">
        <v>7</v>
      </c>
    </row>
    <row r="32" spans="1:4" x14ac:dyDescent="0.3">
      <c r="A32" t="s">
        <v>22</v>
      </c>
      <c r="B32" t="s">
        <v>21</v>
      </c>
      <c r="C32" t="s">
        <v>17</v>
      </c>
      <c r="D32" t="s">
        <v>7</v>
      </c>
    </row>
    <row r="33" spans="1:4" x14ac:dyDescent="0.3">
      <c r="A33" t="s">
        <v>22</v>
      </c>
      <c r="B33" t="s">
        <v>21</v>
      </c>
      <c r="C33" t="s">
        <v>18</v>
      </c>
      <c r="D33" t="s">
        <v>7</v>
      </c>
    </row>
    <row r="34" spans="1:4" x14ac:dyDescent="0.3">
      <c r="A34" t="s">
        <v>22</v>
      </c>
      <c r="B34" t="s">
        <v>21</v>
      </c>
      <c r="C34" t="s">
        <v>19</v>
      </c>
      <c r="D34" t="s">
        <v>7</v>
      </c>
    </row>
    <row r="35" spans="1:4" x14ac:dyDescent="0.3">
      <c r="A35" t="s">
        <v>23</v>
      </c>
      <c r="B35" t="s">
        <v>21</v>
      </c>
      <c r="C35" t="s">
        <v>6</v>
      </c>
      <c r="D35" t="s">
        <v>7</v>
      </c>
    </row>
    <row r="36" spans="1:4" x14ac:dyDescent="0.3">
      <c r="A36" t="s">
        <v>23</v>
      </c>
      <c r="B36" t="s">
        <v>21</v>
      </c>
      <c r="C36" t="s">
        <v>8</v>
      </c>
      <c r="D36" t="s">
        <v>7</v>
      </c>
    </row>
    <row r="37" spans="1:4" x14ac:dyDescent="0.3">
      <c r="A37" t="s">
        <v>23</v>
      </c>
      <c r="B37" t="s">
        <v>21</v>
      </c>
      <c r="C37" t="s">
        <v>9</v>
      </c>
      <c r="D37" t="s">
        <v>7</v>
      </c>
    </row>
    <row r="38" spans="1:4" x14ac:dyDescent="0.3">
      <c r="A38" t="s">
        <v>23</v>
      </c>
      <c r="B38" t="s">
        <v>21</v>
      </c>
      <c r="C38" t="s">
        <v>10</v>
      </c>
      <c r="D38" t="s">
        <v>11</v>
      </c>
    </row>
    <row r="39" spans="1:4" x14ac:dyDescent="0.3">
      <c r="A39" t="s">
        <v>23</v>
      </c>
      <c r="B39" t="s">
        <v>21</v>
      </c>
      <c r="C39" t="s">
        <v>12</v>
      </c>
      <c r="D39" t="s">
        <v>13</v>
      </c>
    </row>
    <row r="40" spans="1:4" x14ac:dyDescent="0.3">
      <c r="A40" t="s">
        <v>23</v>
      </c>
      <c r="B40" t="s">
        <v>21</v>
      </c>
      <c r="C40" t="s">
        <v>14</v>
      </c>
      <c r="D40" t="s">
        <v>7</v>
      </c>
    </row>
    <row r="41" spans="1:4" x14ac:dyDescent="0.3">
      <c r="A41" t="s">
        <v>23</v>
      </c>
      <c r="B41" t="s">
        <v>21</v>
      </c>
      <c r="C41" t="s">
        <v>15</v>
      </c>
      <c r="D41" t="s">
        <v>7</v>
      </c>
    </row>
    <row r="42" spans="1:4" x14ac:dyDescent="0.3">
      <c r="A42" t="s">
        <v>23</v>
      </c>
      <c r="B42" t="s">
        <v>21</v>
      </c>
      <c r="C42" t="s">
        <v>16</v>
      </c>
      <c r="D42" t="s">
        <v>7</v>
      </c>
    </row>
    <row r="43" spans="1:4" x14ac:dyDescent="0.3">
      <c r="A43" t="s">
        <v>23</v>
      </c>
      <c r="B43" t="s">
        <v>21</v>
      </c>
      <c r="C43" t="s">
        <v>17</v>
      </c>
      <c r="D43" t="s">
        <v>7</v>
      </c>
    </row>
    <row r="44" spans="1:4" x14ac:dyDescent="0.3">
      <c r="A44" t="s">
        <v>23</v>
      </c>
      <c r="B44" t="s">
        <v>21</v>
      </c>
      <c r="C44" t="s">
        <v>18</v>
      </c>
      <c r="D44" t="s">
        <v>7</v>
      </c>
    </row>
    <row r="45" spans="1:4" x14ac:dyDescent="0.3">
      <c r="A45" t="s">
        <v>23</v>
      </c>
      <c r="B45" t="s">
        <v>21</v>
      </c>
      <c r="C45" t="s">
        <v>19</v>
      </c>
      <c r="D45" t="s">
        <v>7</v>
      </c>
    </row>
    <row r="46" spans="1:4" x14ac:dyDescent="0.3">
      <c r="A46" t="s">
        <v>24</v>
      </c>
      <c r="B46" t="s">
        <v>21</v>
      </c>
      <c r="C46" t="s">
        <v>6</v>
      </c>
      <c r="D46" t="s">
        <v>7</v>
      </c>
    </row>
    <row r="47" spans="1:4" x14ac:dyDescent="0.3">
      <c r="A47" t="s">
        <v>24</v>
      </c>
      <c r="B47" t="s">
        <v>21</v>
      </c>
      <c r="C47" t="s">
        <v>8</v>
      </c>
      <c r="D47" t="s">
        <v>7</v>
      </c>
    </row>
    <row r="48" spans="1:4" x14ac:dyDescent="0.3">
      <c r="A48" t="s">
        <v>24</v>
      </c>
      <c r="B48" t="s">
        <v>21</v>
      </c>
      <c r="C48" t="s">
        <v>9</v>
      </c>
      <c r="D48" t="s">
        <v>7</v>
      </c>
    </row>
    <row r="49" spans="1:4" x14ac:dyDescent="0.3">
      <c r="A49" t="s">
        <v>24</v>
      </c>
      <c r="B49" t="s">
        <v>21</v>
      </c>
      <c r="C49" t="s">
        <v>10</v>
      </c>
      <c r="D49" t="s">
        <v>11</v>
      </c>
    </row>
    <row r="50" spans="1:4" x14ac:dyDescent="0.3">
      <c r="A50" t="s">
        <v>24</v>
      </c>
      <c r="B50" t="s">
        <v>21</v>
      </c>
      <c r="C50" t="s">
        <v>12</v>
      </c>
      <c r="D50" t="s">
        <v>7</v>
      </c>
    </row>
    <row r="51" spans="1:4" x14ac:dyDescent="0.3">
      <c r="A51" t="s">
        <v>24</v>
      </c>
      <c r="B51" t="s">
        <v>21</v>
      </c>
      <c r="C51" t="s">
        <v>14</v>
      </c>
      <c r="D51" t="s">
        <v>7</v>
      </c>
    </row>
    <row r="52" spans="1:4" x14ac:dyDescent="0.3">
      <c r="A52" t="s">
        <v>24</v>
      </c>
      <c r="B52" t="s">
        <v>21</v>
      </c>
      <c r="C52" t="s">
        <v>15</v>
      </c>
      <c r="D52" t="s">
        <v>7</v>
      </c>
    </row>
    <row r="53" spans="1:4" x14ac:dyDescent="0.3">
      <c r="A53" t="s">
        <v>24</v>
      </c>
      <c r="B53" t="s">
        <v>21</v>
      </c>
      <c r="C53" t="s">
        <v>16</v>
      </c>
      <c r="D53" t="s">
        <v>7</v>
      </c>
    </row>
    <row r="54" spans="1:4" x14ac:dyDescent="0.3">
      <c r="A54" t="s">
        <v>24</v>
      </c>
      <c r="B54" t="s">
        <v>21</v>
      </c>
      <c r="C54" t="s">
        <v>17</v>
      </c>
      <c r="D54" t="s">
        <v>7</v>
      </c>
    </row>
    <row r="55" spans="1:4" x14ac:dyDescent="0.3">
      <c r="A55" t="s">
        <v>24</v>
      </c>
      <c r="B55" t="s">
        <v>21</v>
      </c>
      <c r="C55" t="s">
        <v>18</v>
      </c>
      <c r="D55" t="s">
        <v>7</v>
      </c>
    </row>
    <row r="56" spans="1:4" x14ac:dyDescent="0.3">
      <c r="A56" t="s">
        <v>24</v>
      </c>
      <c r="B56" t="s">
        <v>21</v>
      </c>
      <c r="C56" t="s">
        <v>19</v>
      </c>
      <c r="D56" t="s">
        <v>7</v>
      </c>
    </row>
    <row r="57" spans="1:4" x14ac:dyDescent="0.3">
      <c r="A57" t="s">
        <v>25</v>
      </c>
      <c r="B57" t="s">
        <v>21</v>
      </c>
      <c r="C57" t="s">
        <v>6</v>
      </c>
      <c r="D57" t="s">
        <v>7</v>
      </c>
    </row>
    <row r="58" spans="1:4" x14ac:dyDescent="0.3">
      <c r="A58" t="s">
        <v>25</v>
      </c>
      <c r="B58" t="s">
        <v>21</v>
      </c>
      <c r="C58" t="s">
        <v>8</v>
      </c>
      <c r="D58" t="s">
        <v>7</v>
      </c>
    </row>
    <row r="59" spans="1:4" x14ac:dyDescent="0.3">
      <c r="A59" t="s">
        <v>25</v>
      </c>
      <c r="B59" t="s">
        <v>21</v>
      </c>
      <c r="C59" t="s">
        <v>9</v>
      </c>
      <c r="D59" t="s">
        <v>7</v>
      </c>
    </row>
    <row r="60" spans="1:4" x14ac:dyDescent="0.3">
      <c r="A60" t="s">
        <v>25</v>
      </c>
      <c r="B60" t="s">
        <v>21</v>
      </c>
      <c r="C60" t="s">
        <v>10</v>
      </c>
      <c r="D60" t="s">
        <v>11</v>
      </c>
    </row>
    <row r="61" spans="1:4" x14ac:dyDescent="0.3">
      <c r="A61" t="s">
        <v>25</v>
      </c>
      <c r="B61" t="s">
        <v>21</v>
      </c>
      <c r="C61" t="s">
        <v>12</v>
      </c>
      <c r="D61" t="s">
        <v>7</v>
      </c>
    </row>
    <row r="62" spans="1:4" x14ac:dyDescent="0.3">
      <c r="A62" t="s">
        <v>25</v>
      </c>
      <c r="B62" t="s">
        <v>21</v>
      </c>
      <c r="C62" t="s">
        <v>14</v>
      </c>
      <c r="D62" t="s">
        <v>7</v>
      </c>
    </row>
    <row r="63" spans="1:4" x14ac:dyDescent="0.3">
      <c r="A63" t="s">
        <v>25</v>
      </c>
      <c r="B63" t="s">
        <v>21</v>
      </c>
      <c r="C63" t="s">
        <v>15</v>
      </c>
      <c r="D63" t="s">
        <v>7</v>
      </c>
    </row>
    <row r="64" spans="1:4" x14ac:dyDescent="0.3">
      <c r="A64" t="s">
        <v>25</v>
      </c>
      <c r="B64" t="s">
        <v>21</v>
      </c>
      <c r="C64" t="s">
        <v>16</v>
      </c>
      <c r="D64" t="s">
        <v>7</v>
      </c>
    </row>
    <row r="65" spans="1:4" x14ac:dyDescent="0.3">
      <c r="A65" t="s">
        <v>25</v>
      </c>
      <c r="B65" t="s">
        <v>21</v>
      </c>
      <c r="C65" t="s">
        <v>17</v>
      </c>
      <c r="D65" t="s">
        <v>7</v>
      </c>
    </row>
    <row r="66" spans="1:4" x14ac:dyDescent="0.3">
      <c r="A66" t="s">
        <v>25</v>
      </c>
      <c r="B66" t="s">
        <v>21</v>
      </c>
      <c r="C66" t="s">
        <v>18</v>
      </c>
      <c r="D66" t="s">
        <v>7</v>
      </c>
    </row>
    <row r="67" spans="1:4" x14ac:dyDescent="0.3">
      <c r="A67" t="s">
        <v>25</v>
      </c>
      <c r="B67" t="s">
        <v>21</v>
      </c>
      <c r="C67" t="s">
        <v>19</v>
      </c>
      <c r="D67" t="s">
        <v>7</v>
      </c>
    </row>
    <row r="68" spans="1:4" x14ac:dyDescent="0.3">
      <c r="A68" t="s">
        <v>26</v>
      </c>
      <c r="B68" t="s">
        <v>21</v>
      </c>
      <c r="C68" t="s">
        <v>6</v>
      </c>
      <c r="D68" t="s">
        <v>7</v>
      </c>
    </row>
    <row r="69" spans="1:4" x14ac:dyDescent="0.3">
      <c r="A69" t="s">
        <v>26</v>
      </c>
      <c r="B69" t="s">
        <v>21</v>
      </c>
      <c r="C69" t="s">
        <v>8</v>
      </c>
      <c r="D69" t="s">
        <v>7</v>
      </c>
    </row>
    <row r="70" spans="1:4" x14ac:dyDescent="0.3">
      <c r="A70" t="s">
        <v>26</v>
      </c>
      <c r="B70" t="s">
        <v>21</v>
      </c>
      <c r="C70" t="s">
        <v>9</v>
      </c>
      <c r="D70" t="s">
        <v>7</v>
      </c>
    </row>
    <row r="71" spans="1:4" x14ac:dyDescent="0.3">
      <c r="A71" t="s">
        <v>26</v>
      </c>
      <c r="B71" t="s">
        <v>21</v>
      </c>
      <c r="C71" t="s">
        <v>10</v>
      </c>
      <c r="D71" t="s">
        <v>11</v>
      </c>
    </row>
    <row r="72" spans="1:4" x14ac:dyDescent="0.3">
      <c r="A72" t="s">
        <v>26</v>
      </c>
      <c r="B72" t="s">
        <v>21</v>
      </c>
      <c r="C72" t="s">
        <v>12</v>
      </c>
      <c r="D72" t="s">
        <v>7</v>
      </c>
    </row>
    <row r="73" spans="1:4" x14ac:dyDescent="0.3">
      <c r="A73" t="s">
        <v>26</v>
      </c>
      <c r="B73" t="s">
        <v>21</v>
      </c>
      <c r="C73" t="s">
        <v>14</v>
      </c>
      <c r="D73" t="s">
        <v>7</v>
      </c>
    </row>
    <row r="74" spans="1:4" x14ac:dyDescent="0.3">
      <c r="A74" t="s">
        <v>26</v>
      </c>
      <c r="B74" t="s">
        <v>21</v>
      </c>
      <c r="C74" t="s">
        <v>15</v>
      </c>
      <c r="D74" t="s">
        <v>7</v>
      </c>
    </row>
    <row r="75" spans="1:4" x14ac:dyDescent="0.3">
      <c r="A75" t="s">
        <v>26</v>
      </c>
      <c r="B75" t="s">
        <v>21</v>
      </c>
      <c r="C75" t="s">
        <v>16</v>
      </c>
      <c r="D75" t="s">
        <v>7</v>
      </c>
    </row>
    <row r="76" spans="1:4" x14ac:dyDescent="0.3">
      <c r="A76" t="s">
        <v>26</v>
      </c>
      <c r="B76" t="s">
        <v>21</v>
      </c>
      <c r="C76" t="s">
        <v>17</v>
      </c>
      <c r="D76" t="s">
        <v>7</v>
      </c>
    </row>
    <row r="77" spans="1:4" x14ac:dyDescent="0.3">
      <c r="A77" t="s">
        <v>26</v>
      </c>
      <c r="B77" t="s">
        <v>21</v>
      </c>
      <c r="C77" t="s">
        <v>18</v>
      </c>
      <c r="D77" t="s">
        <v>7</v>
      </c>
    </row>
    <row r="78" spans="1:4" x14ac:dyDescent="0.3">
      <c r="A78" t="s">
        <v>26</v>
      </c>
      <c r="B78" t="s">
        <v>21</v>
      </c>
      <c r="C78" t="s">
        <v>19</v>
      </c>
      <c r="D78" t="s">
        <v>7</v>
      </c>
    </row>
    <row r="79" spans="1:4" x14ac:dyDescent="0.3">
      <c r="A79" t="s">
        <v>27</v>
      </c>
      <c r="B79" t="s">
        <v>21</v>
      </c>
      <c r="C79" t="s">
        <v>6</v>
      </c>
      <c r="D79" t="s">
        <v>7</v>
      </c>
    </row>
    <row r="80" spans="1:4" x14ac:dyDescent="0.3">
      <c r="A80" t="s">
        <v>27</v>
      </c>
      <c r="B80" t="s">
        <v>21</v>
      </c>
      <c r="C80" t="s">
        <v>8</v>
      </c>
      <c r="D80" t="s">
        <v>7</v>
      </c>
    </row>
    <row r="81" spans="1:4" x14ac:dyDescent="0.3">
      <c r="A81" t="s">
        <v>27</v>
      </c>
      <c r="B81" t="s">
        <v>21</v>
      </c>
      <c r="C81" t="s">
        <v>9</v>
      </c>
      <c r="D81" t="s">
        <v>7</v>
      </c>
    </row>
    <row r="82" spans="1:4" x14ac:dyDescent="0.3">
      <c r="A82" t="s">
        <v>27</v>
      </c>
      <c r="B82" t="s">
        <v>21</v>
      </c>
      <c r="C82" t="s">
        <v>10</v>
      </c>
      <c r="D82" t="s">
        <v>11</v>
      </c>
    </row>
    <row r="83" spans="1:4" x14ac:dyDescent="0.3">
      <c r="A83" t="s">
        <v>27</v>
      </c>
      <c r="B83" t="s">
        <v>21</v>
      </c>
      <c r="C83" t="s">
        <v>12</v>
      </c>
      <c r="D83" t="s">
        <v>7</v>
      </c>
    </row>
    <row r="84" spans="1:4" x14ac:dyDescent="0.3">
      <c r="A84" t="s">
        <v>27</v>
      </c>
      <c r="B84" t="s">
        <v>21</v>
      </c>
      <c r="C84" t="s">
        <v>14</v>
      </c>
      <c r="D84" t="s">
        <v>7</v>
      </c>
    </row>
    <row r="85" spans="1:4" x14ac:dyDescent="0.3">
      <c r="A85" t="s">
        <v>27</v>
      </c>
      <c r="B85" t="s">
        <v>21</v>
      </c>
      <c r="C85" t="s">
        <v>15</v>
      </c>
      <c r="D85" t="s">
        <v>7</v>
      </c>
    </row>
    <row r="86" spans="1:4" x14ac:dyDescent="0.3">
      <c r="A86" t="s">
        <v>27</v>
      </c>
      <c r="B86" t="s">
        <v>21</v>
      </c>
      <c r="C86" t="s">
        <v>16</v>
      </c>
      <c r="D86" t="s">
        <v>7</v>
      </c>
    </row>
    <row r="87" spans="1:4" x14ac:dyDescent="0.3">
      <c r="A87" t="s">
        <v>27</v>
      </c>
      <c r="B87" t="s">
        <v>21</v>
      </c>
      <c r="C87" t="s">
        <v>17</v>
      </c>
      <c r="D87" t="s">
        <v>7</v>
      </c>
    </row>
    <row r="88" spans="1:4" x14ac:dyDescent="0.3">
      <c r="A88" t="s">
        <v>27</v>
      </c>
      <c r="B88" t="s">
        <v>21</v>
      </c>
      <c r="C88" t="s">
        <v>18</v>
      </c>
      <c r="D88" t="s">
        <v>7</v>
      </c>
    </row>
    <row r="89" spans="1:4" x14ac:dyDescent="0.3">
      <c r="A89" t="s">
        <v>27</v>
      </c>
      <c r="B89" t="s">
        <v>21</v>
      </c>
      <c r="C89" t="s">
        <v>19</v>
      </c>
      <c r="D89" t="s">
        <v>7</v>
      </c>
    </row>
    <row r="90" spans="1:4" x14ac:dyDescent="0.3">
      <c r="A90" t="s">
        <v>28</v>
      </c>
      <c r="B90" t="s">
        <v>21</v>
      </c>
      <c r="C90" t="s">
        <v>6</v>
      </c>
      <c r="D90" t="s">
        <v>7</v>
      </c>
    </row>
    <row r="91" spans="1:4" x14ac:dyDescent="0.3">
      <c r="A91" t="s">
        <v>28</v>
      </c>
      <c r="B91" t="s">
        <v>21</v>
      </c>
      <c r="C91" t="s">
        <v>8</v>
      </c>
      <c r="D91" t="s">
        <v>7</v>
      </c>
    </row>
    <row r="92" spans="1:4" x14ac:dyDescent="0.3">
      <c r="A92" t="s">
        <v>28</v>
      </c>
      <c r="B92" t="s">
        <v>21</v>
      </c>
      <c r="C92" t="s">
        <v>9</v>
      </c>
      <c r="D92" t="s">
        <v>7</v>
      </c>
    </row>
    <row r="93" spans="1:4" x14ac:dyDescent="0.3">
      <c r="A93" t="s">
        <v>28</v>
      </c>
      <c r="B93" t="s">
        <v>21</v>
      </c>
      <c r="C93" t="s">
        <v>10</v>
      </c>
      <c r="D93" t="s">
        <v>11</v>
      </c>
    </row>
    <row r="94" spans="1:4" x14ac:dyDescent="0.3">
      <c r="A94" t="s">
        <v>28</v>
      </c>
      <c r="B94" t="s">
        <v>21</v>
      </c>
      <c r="C94" t="s">
        <v>12</v>
      </c>
      <c r="D94" t="s">
        <v>7</v>
      </c>
    </row>
    <row r="95" spans="1:4" x14ac:dyDescent="0.3">
      <c r="A95" t="s">
        <v>28</v>
      </c>
      <c r="B95" t="s">
        <v>21</v>
      </c>
      <c r="C95" t="s">
        <v>14</v>
      </c>
      <c r="D95" t="s">
        <v>7</v>
      </c>
    </row>
    <row r="96" spans="1:4" x14ac:dyDescent="0.3">
      <c r="A96" t="s">
        <v>28</v>
      </c>
      <c r="B96" t="s">
        <v>21</v>
      </c>
      <c r="C96" t="s">
        <v>15</v>
      </c>
      <c r="D96" t="s">
        <v>7</v>
      </c>
    </row>
    <row r="97" spans="1:4" x14ac:dyDescent="0.3">
      <c r="A97" t="s">
        <v>28</v>
      </c>
      <c r="B97" t="s">
        <v>21</v>
      </c>
      <c r="C97" t="s">
        <v>16</v>
      </c>
      <c r="D97" t="s">
        <v>7</v>
      </c>
    </row>
    <row r="98" spans="1:4" x14ac:dyDescent="0.3">
      <c r="A98" t="s">
        <v>28</v>
      </c>
      <c r="B98" t="s">
        <v>21</v>
      </c>
      <c r="C98" t="s">
        <v>17</v>
      </c>
      <c r="D98" t="s">
        <v>7</v>
      </c>
    </row>
    <row r="99" spans="1:4" x14ac:dyDescent="0.3">
      <c r="A99" t="s">
        <v>28</v>
      </c>
      <c r="B99" t="s">
        <v>21</v>
      </c>
      <c r="C99" t="s">
        <v>18</v>
      </c>
      <c r="D99" t="s">
        <v>7</v>
      </c>
    </row>
    <row r="100" spans="1:4" x14ac:dyDescent="0.3">
      <c r="A100" t="s">
        <v>28</v>
      </c>
      <c r="B100" t="s">
        <v>21</v>
      </c>
      <c r="C100" t="s">
        <v>19</v>
      </c>
      <c r="D100" t="s">
        <v>7</v>
      </c>
    </row>
    <row r="101" spans="1:4" x14ac:dyDescent="0.3">
      <c r="A101" t="s">
        <v>29</v>
      </c>
      <c r="B101" t="s">
        <v>5</v>
      </c>
      <c r="C101" t="s">
        <v>6</v>
      </c>
      <c r="D101" t="s">
        <v>7</v>
      </c>
    </row>
    <row r="102" spans="1:4" x14ac:dyDescent="0.3">
      <c r="A102" t="s">
        <v>29</v>
      </c>
      <c r="B102" t="s">
        <v>5</v>
      </c>
      <c r="C102" t="s">
        <v>8</v>
      </c>
      <c r="D102" t="s">
        <v>7</v>
      </c>
    </row>
    <row r="103" spans="1:4" x14ac:dyDescent="0.3">
      <c r="A103" t="s">
        <v>29</v>
      </c>
      <c r="B103" t="s">
        <v>5</v>
      </c>
      <c r="C103" t="s">
        <v>9</v>
      </c>
      <c r="D103" t="s">
        <v>7</v>
      </c>
    </row>
    <row r="104" spans="1:4" x14ac:dyDescent="0.3">
      <c r="A104" t="s">
        <v>29</v>
      </c>
      <c r="B104" t="s">
        <v>5</v>
      </c>
      <c r="C104" t="s">
        <v>10</v>
      </c>
      <c r="D104" t="s">
        <v>11</v>
      </c>
    </row>
    <row r="105" spans="1:4" x14ac:dyDescent="0.3">
      <c r="A105" t="s">
        <v>29</v>
      </c>
      <c r="B105" t="s">
        <v>5</v>
      </c>
      <c r="C105" t="s">
        <v>12</v>
      </c>
      <c r="D105" t="s">
        <v>7</v>
      </c>
    </row>
    <row r="106" spans="1:4" x14ac:dyDescent="0.3">
      <c r="A106" t="s">
        <v>29</v>
      </c>
      <c r="B106" t="s">
        <v>5</v>
      </c>
      <c r="C106" t="s">
        <v>14</v>
      </c>
      <c r="D106" t="s">
        <v>7</v>
      </c>
    </row>
    <row r="107" spans="1:4" x14ac:dyDescent="0.3">
      <c r="A107" t="s">
        <v>29</v>
      </c>
      <c r="B107" t="s">
        <v>5</v>
      </c>
      <c r="C107" t="s">
        <v>15</v>
      </c>
      <c r="D107" t="s">
        <v>7</v>
      </c>
    </row>
    <row r="108" spans="1:4" x14ac:dyDescent="0.3">
      <c r="A108" t="s">
        <v>29</v>
      </c>
      <c r="B108" t="s">
        <v>5</v>
      </c>
      <c r="C108" t="s">
        <v>16</v>
      </c>
      <c r="D108" t="s">
        <v>7</v>
      </c>
    </row>
    <row r="109" spans="1:4" x14ac:dyDescent="0.3">
      <c r="A109" t="s">
        <v>29</v>
      </c>
      <c r="B109" t="s">
        <v>5</v>
      </c>
      <c r="C109" t="s">
        <v>17</v>
      </c>
      <c r="D109" t="s">
        <v>7</v>
      </c>
    </row>
    <row r="110" spans="1:4" x14ac:dyDescent="0.3">
      <c r="A110" t="s">
        <v>29</v>
      </c>
      <c r="B110" t="s">
        <v>5</v>
      </c>
      <c r="C110" t="s">
        <v>18</v>
      </c>
      <c r="D110" t="s">
        <v>7</v>
      </c>
    </row>
    <row r="111" spans="1:4" x14ac:dyDescent="0.3">
      <c r="A111" t="s">
        <v>29</v>
      </c>
      <c r="B111" t="s">
        <v>5</v>
      </c>
      <c r="C111" t="s">
        <v>19</v>
      </c>
      <c r="D111" t="s">
        <v>7</v>
      </c>
    </row>
    <row r="112" spans="1:4" x14ac:dyDescent="0.3">
      <c r="A112" t="s">
        <v>30</v>
      </c>
      <c r="B112" t="s">
        <v>5</v>
      </c>
      <c r="C112" t="s">
        <v>6</v>
      </c>
      <c r="D112" t="s">
        <v>7</v>
      </c>
    </row>
    <row r="113" spans="1:4" x14ac:dyDescent="0.3">
      <c r="A113" t="s">
        <v>30</v>
      </c>
      <c r="B113" t="s">
        <v>5</v>
      </c>
      <c r="C113" t="s">
        <v>8</v>
      </c>
      <c r="D113" t="s">
        <v>7</v>
      </c>
    </row>
    <row r="114" spans="1:4" x14ac:dyDescent="0.3">
      <c r="A114" t="s">
        <v>30</v>
      </c>
      <c r="B114" t="s">
        <v>5</v>
      </c>
      <c r="C114" t="s">
        <v>9</v>
      </c>
      <c r="D114" t="s">
        <v>7</v>
      </c>
    </row>
    <row r="115" spans="1:4" x14ac:dyDescent="0.3">
      <c r="A115" t="s">
        <v>30</v>
      </c>
      <c r="B115" t="s">
        <v>5</v>
      </c>
      <c r="C115" t="s">
        <v>10</v>
      </c>
      <c r="D115" t="s">
        <v>13</v>
      </c>
    </row>
    <row r="116" spans="1:4" x14ac:dyDescent="0.3">
      <c r="A116" t="s">
        <v>30</v>
      </c>
      <c r="B116" t="s">
        <v>5</v>
      </c>
      <c r="C116" t="s">
        <v>12</v>
      </c>
      <c r="D116" t="s">
        <v>7</v>
      </c>
    </row>
    <row r="117" spans="1:4" x14ac:dyDescent="0.3">
      <c r="A117" t="s">
        <v>30</v>
      </c>
      <c r="B117" t="s">
        <v>5</v>
      </c>
      <c r="C117" t="s">
        <v>14</v>
      </c>
      <c r="D117" t="s">
        <v>7</v>
      </c>
    </row>
    <row r="118" spans="1:4" x14ac:dyDescent="0.3">
      <c r="A118" t="s">
        <v>30</v>
      </c>
      <c r="B118" t="s">
        <v>5</v>
      </c>
      <c r="C118" t="s">
        <v>15</v>
      </c>
      <c r="D118" t="s">
        <v>7</v>
      </c>
    </row>
    <row r="119" spans="1:4" x14ac:dyDescent="0.3">
      <c r="A119" t="s">
        <v>30</v>
      </c>
      <c r="B119" t="s">
        <v>5</v>
      </c>
      <c r="C119" t="s">
        <v>16</v>
      </c>
      <c r="D119" t="s">
        <v>7</v>
      </c>
    </row>
    <row r="120" spans="1:4" x14ac:dyDescent="0.3">
      <c r="A120" t="s">
        <v>30</v>
      </c>
      <c r="B120" t="s">
        <v>5</v>
      </c>
      <c r="C120" t="s">
        <v>17</v>
      </c>
      <c r="D120" t="s">
        <v>7</v>
      </c>
    </row>
    <row r="121" spans="1:4" x14ac:dyDescent="0.3">
      <c r="A121" t="s">
        <v>30</v>
      </c>
      <c r="B121" t="s">
        <v>5</v>
      </c>
      <c r="C121" t="s">
        <v>18</v>
      </c>
      <c r="D121" t="s">
        <v>7</v>
      </c>
    </row>
    <row r="122" spans="1:4" x14ac:dyDescent="0.3">
      <c r="A122" t="s">
        <v>30</v>
      </c>
      <c r="B122" t="s">
        <v>5</v>
      </c>
      <c r="C122" t="s">
        <v>19</v>
      </c>
      <c r="D122" t="s">
        <v>7</v>
      </c>
    </row>
    <row r="123" spans="1:4" x14ac:dyDescent="0.3">
      <c r="A123" t="s">
        <v>31</v>
      </c>
      <c r="B123" t="s">
        <v>5</v>
      </c>
      <c r="C123" t="s">
        <v>6</v>
      </c>
      <c r="D123" t="s">
        <v>7</v>
      </c>
    </row>
    <row r="124" spans="1:4" x14ac:dyDescent="0.3">
      <c r="A124" t="s">
        <v>31</v>
      </c>
      <c r="B124" t="s">
        <v>5</v>
      </c>
      <c r="C124" t="s">
        <v>8</v>
      </c>
      <c r="D124" t="s">
        <v>7</v>
      </c>
    </row>
    <row r="125" spans="1:4" x14ac:dyDescent="0.3">
      <c r="A125" t="s">
        <v>31</v>
      </c>
      <c r="B125" t="s">
        <v>5</v>
      </c>
      <c r="C125" t="s">
        <v>9</v>
      </c>
      <c r="D125" t="s">
        <v>7</v>
      </c>
    </row>
    <row r="126" spans="1:4" x14ac:dyDescent="0.3">
      <c r="A126" t="s">
        <v>31</v>
      </c>
      <c r="B126" t="s">
        <v>5</v>
      </c>
      <c r="C126" t="s">
        <v>10</v>
      </c>
      <c r="D126" t="s">
        <v>7</v>
      </c>
    </row>
    <row r="127" spans="1:4" x14ac:dyDescent="0.3">
      <c r="A127" t="s">
        <v>31</v>
      </c>
      <c r="B127" t="s">
        <v>5</v>
      </c>
      <c r="C127" t="s">
        <v>12</v>
      </c>
      <c r="D127" t="s">
        <v>7</v>
      </c>
    </row>
    <row r="128" spans="1:4" x14ac:dyDescent="0.3">
      <c r="A128" t="s">
        <v>31</v>
      </c>
      <c r="B128" t="s">
        <v>5</v>
      </c>
      <c r="C128" t="s">
        <v>14</v>
      </c>
      <c r="D128" t="s">
        <v>7</v>
      </c>
    </row>
    <row r="129" spans="1:4" x14ac:dyDescent="0.3">
      <c r="A129" t="s">
        <v>31</v>
      </c>
      <c r="B129" t="s">
        <v>5</v>
      </c>
      <c r="C129" t="s">
        <v>15</v>
      </c>
      <c r="D129" t="s">
        <v>7</v>
      </c>
    </row>
    <row r="130" spans="1:4" x14ac:dyDescent="0.3">
      <c r="A130" t="s">
        <v>31</v>
      </c>
      <c r="B130" t="s">
        <v>5</v>
      </c>
      <c r="C130" t="s">
        <v>16</v>
      </c>
      <c r="D130" t="s">
        <v>7</v>
      </c>
    </row>
    <row r="131" spans="1:4" x14ac:dyDescent="0.3">
      <c r="A131" t="s">
        <v>31</v>
      </c>
      <c r="B131" t="s">
        <v>5</v>
      </c>
      <c r="C131" t="s">
        <v>17</v>
      </c>
      <c r="D131" t="s">
        <v>7</v>
      </c>
    </row>
    <row r="132" spans="1:4" x14ac:dyDescent="0.3">
      <c r="A132" t="s">
        <v>31</v>
      </c>
      <c r="B132" t="s">
        <v>5</v>
      </c>
      <c r="C132" t="s">
        <v>18</v>
      </c>
      <c r="D132" t="s">
        <v>13</v>
      </c>
    </row>
    <row r="133" spans="1:4" x14ac:dyDescent="0.3">
      <c r="A133" t="s">
        <v>31</v>
      </c>
      <c r="B133" t="s">
        <v>5</v>
      </c>
      <c r="C133" t="s">
        <v>19</v>
      </c>
      <c r="D133" t="s">
        <v>7</v>
      </c>
    </row>
    <row r="134" spans="1:4" x14ac:dyDescent="0.3">
      <c r="A134" t="s">
        <v>32</v>
      </c>
      <c r="B134" t="s">
        <v>5</v>
      </c>
      <c r="C134" t="s">
        <v>6</v>
      </c>
      <c r="D134" t="s">
        <v>7</v>
      </c>
    </row>
    <row r="135" spans="1:4" x14ac:dyDescent="0.3">
      <c r="A135" t="s">
        <v>32</v>
      </c>
      <c r="B135" t="s">
        <v>5</v>
      </c>
      <c r="C135" t="s">
        <v>8</v>
      </c>
      <c r="D135" t="s">
        <v>7</v>
      </c>
    </row>
    <row r="136" spans="1:4" x14ac:dyDescent="0.3">
      <c r="A136" t="s">
        <v>32</v>
      </c>
      <c r="B136" t="s">
        <v>5</v>
      </c>
      <c r="C136" t="s">
        <v>9</v>
      </c>
      <c r="D136" t="s">
        <v>7</v>
      </c>
    </row>
    <row r="137" spans="1:4" x14ac:dyDescent="0.3">
      <c r="A137" t="s">
        <v>32</v>
      </c>
      <c r="B137" t="s">
        <v>5</v>
      </c>
      <c r="C137" t="s">
        <v>10</v>
      </c>
      <c r="D137" t="s">
        <v>7</v>
      </c>
    </row>
    <row r="138" spans="1:4" x14ac:dyDescent="0.3">
      <c r="A138" t="s">
        <v>32</v>
      </c>
      <c r="B138" t="s">
        <v>5</v>
      </c>
      <c r="C138" t="s">
        <v>12</v>
      </c>
      <c r="D138" t="s">
        <v>7</v>
      </c>
    </row>
    <row r="139" spans="1:4" x14ac:dyDescent="0.3">
      <c r="A139" t="s">
        <v>32</v>
      </c>
      <c r="B139" t="s">
        <v>5</v>
      </c>
      <c r="C139" t="s">
        <v>14</v>
      </c>
      <c r="D139" t="s">
        <v>7</v>
      </c>
    </row>
    <row r="140" spans="1:4" x14ac:dyDescent="0.3">
      <c r="A140" t="s">
        <v>32</v>
      </c>
      <c r="B140" t="s">
        <v>5</v>
      </c>
      <c r="C140" t="s">
        <v>15</v>
      </c>
      <c r="D140" t="s">
        <v>7</v>
      </c>
    </row>
    <row r="141" spans="1:4" x14ac:dyDescent="0.3">
      <c r="A141" t="s">
        <v>32</v>
      </c>
      <c r="B141" t="s">
        <v>5</v>
      </c>
      <c r="C141" t="s">
        <v>16</v>
      </c>
      <c r="D141" t="s">
        <v>7</v>
      </c>
    </row>
    <row r="142" spans="1:4" x14ac:dyDescent="0.3">
      <c r="A142" t="s">
        <v>32</v>
      </c>
      <c r="B142" t="s">
        <v>5</v>
      </c>
      <c r="C142" t="s">
        <v>17</v>
      </c>
      <c r="D142" t="s">
        <v>7</v>
      </c>
    </row>
    <row r="143" spans="1:4" x14ac:dyDescent="0.3">
      <c r="A143" t="s">
        <v>32</v>
      </c>
      <c r="B143" t="s">
        <v>5</v>
      </c>
      <c r="C143" t="s">
        <v>18</v>
      </c>
      <c r="D143" t="s">
        <v>13</v>
      </c>
    </row>
    <row r="144" spans="1:4" x14ac:dyDescent="0.3">
      <c r="A144" t="s">
        <v>32</v>
      </c>
      <c r="B144" t="s">
        <v>5</v>
      </c>
      <c r="C144" t="s">
        <v>19</v>
      </c>
      <c r="D144" t="s">
        <v>7</v>
      </c>
    </row>
    <row r="145" spans="1:4" x14ac:dyDescent="0.3">
      <c r="A145" t="s">
        <v>33</v>
      </c>
      <c r="B145" t="s">
        <v>5</v>
      </c>
      <c r="C145" t="s">
        <v>6</v>
      </c>
      <c r="D145" t="s">
        <v>7</v>
      </c>
    </row>
    <row r="146" spans="1:4" x14ac:dyDescent="0.3">
      <c r="A146" t="s">
        <v>33</v>
      </c>
      <c r="B146" t="s">
        <v>5</v>
      </c>
      <c r="C146" t="s">
        <v>8</v>
      </c>
      <c r="D146" t="s">
        <v>7</v>
      </c>
    </row>
    <row r="147" spans="1:4" x14ac:dyDescent="0.3">
      <c r="A147" t="s">
        <v>33</v>
      </c>
      <c r="B147" t="s">
        <v>5</v>
      </c>
      <c r="C147" t="s">
        <v>9</v>
      </c>
      <c r="D147" t="s">
        <v>7</v>
      </c>
    </row>
    <row r="148" spans="1:4" x14ac:dyDescent="0.3">
      <c r="A148" t="s">
        <v>33</v>
      </c>
      <c r="B148" t="s">
        <v>5</v>
      </c>
      <c r="C148" t="s">
        <v>10</v>
      </c>
      <c r="D148" t="s">
        <v>13</v>
      </c>
    </row>
    <row r="149" spans="1:4" x14ac:dyDescent="0.3">
      <c r="A149" t="s">
        <v>33</v>
      </c>
      <c r="B149" t="s">
        <v>5</v>
      </c>
      <c r="C149" t="s">
        <v>12</v>
      </c>
      <c r="D149" t="s">
        <v>7</v>
      </c>
    </row>
    <row r="150" spans="1:4" x14ac:dyDescent="0.3">
      <c r="A150" t="s">
        <v>33</v>
      </c>
      <c r="B150" t="s">
        <v>5</v>
      </c>
      <c r="C150" t="s">
        <v>14</v>
      </c>
      <c r="D150" t="s">
        <v>7</v>
      </c>
    </row>
    <row r="151" spans="1:4" x14ac:dyDescent="0.3">
      <c r="A151" t="s">
        <v>33</v>
      </c>
      <c r="B151" t="s">
        <v>5</v>
      </c>
      <c r="C151" t="s">
        <v>15</v>
      </c>
      <c r="D151" t="s">
        <v>7</v>
      </c>
    </row>
    <row r="152" spans="1:4" x14ac:dyDescent="0.3">
      <c r="A152" t="s">
        <v>33</v>
      </c>
      <c r="B152" t="s">
        <v>5</v>
      </c>
      <c r="C152" t="s">
        <v>16</v>
      </c>
      <c r="D152" t="s">
        <v>7</v>
      </c>
    </row>
    <row r="153" spans="1:4" x14ac:dyDescent="0.3">
      <c r="A153" t="s">
        <v>33</v>
      </c>
      <c r="B153" t="s">
        <v>5</v>
      </c>
      <c r="C153" t="s">
        <v>17</v>
      </c>
      <c r="D153" t="s">
        <v>7</v>
      </c>
    </row>
    <row r="154" spans="1:4" x14ac:dyDescent="0.3">
      <c r="A154" t="s">
        <v>33</v>
      </c>
      <c r="B154" t="s">
        <v>5</v>
      </c>
      <c r="C154" t="s">
        <v>18</v>
      </c>
      <c r="D154" t="s">
        <v>7</v>
      </c>
    </row>
    <row r="155" spans="1:4" x14ac:dyDescent="0.3">
      <c r="A155" t="s">
        <v>33</v>
      </c>
      <c r="B155" t="s">
        <v>5</v>
      </c>
      <c r="C155" t="s">
        <v>19</v>
      </c>
      <c r="D155" t="s">
        <v>7</v>
      </c>
    </row>
    <row r="156" spans="1:4" x14ac:dyDescent="0.3">
      <c r="A156" t="s">
        <v>34</v>
      </c>
      <c r="B156" t="s">
        <v>5</v>
      </c>
      <c r="C156" t="s">
        <v>6</v>
      </c>
      <c r="D156" t="s">
        <v>7</v>
      </c>
    </row>
    <row r="157" spans="1:4" x14ac:dyDescent="0.3">
      <c r="A157" t="s">
        <v>34</v>
      </c>
      <c r="B157" t="s">
        <v>5</v>
      </c>
      <c r="C157" t="s">
        <v>8</v>
      </c>
      <c r="D157" t="s">
        <v>7</v>
      </c>
    </row>
    <row r="158" spans="1:4" x14ac:dyDescent="0.3">
      <c r="A158" t="s">
        <v>34</v>
      </c>
      <c r="B158" t="s">
        <v>5</v>
      </c>
      <c r="C158" t="s">
        <v>9</v>
      </c>
      <c r="D158" t="s">
        <v>7</v>
      </c>
    </row>
    <row r="159" spans="1:4" x14ac:dyDescent="0.3">
      <c r="A159" t="s">
        <v>34</v>
      </c>
      <c r="B159" t="s">
        <v>5</v>
      </c>
      <c r="C159" t="s">
        <v>10</v>
      </c>
      <c r="D159" t="s">
        <v>13</v>
      </c>
    </row>
    <row r="160" spans="1:4" x14ac:dyDescent="0.3">
      <c r="A160" t="s">
        <v>34</v>
      </c>
      <c r="B160" t="s">
        <v>5</v>
      </c>
      <c r="C160" t="s">
        <v>12</v>
      </c>
      <c r="D160" t="s">
        <v>13</v>
      </c>
    </row>
    <row r="161" spans="1:4" x14ac:dyDescent="0.3">
      <c r="A161" t="s">
        <v>34</v>
      </c>
      <c r="B161" t="s">
        <v>5</v>
      </c>
      <c r="C161" t="s">
        <v>14</v>
      </c>
      <c r="D161" t="s">
        <v>7</v>
      </c>
    </row>
    <row r="162" spans="1:4" x14ac:dyDescent="0.3">
      <c r="A162" t="s">
        <v>34</v>
      </c>
      <c r="B162" t="s">
        <v>5</v>
      </c>
      <c r="C162" t="s">
        <v>15</v>
      </c>
      <c r="D162" t="s">
        <v>7</v>
      </c>
    </row>
    <row r="163" spans="1:4" x14ac:dyDescent="0.3">
      <c r="A163" t="s">
        <v>34</v>
      </c>
      <c r="B163" t="s">
        <v>5</v>
      </c>
      <c r="C163" t="s">
        <v>16</v>
      </c>
      <c r="D163" t="s">
        <v>7</v>
      </c>
    </row>
    <row r="164" spans="1:4" x14ac:dyDescent="0.3">
      <c r="A164" t="s">
        <v>34</v>
      </c>
      <c r="B164" t="s">
        <v>5</v>
      </c>
      <c r="C164" t="s">
        <v>17</v>
      </c>
      <c r="D164" t="s">
        <v>7</v>
      </c>
    </row>
    <row r="165" spans="1:4" x14ac:dyDescent="0.3">
      <c r="A165" t="s">
        <v>34</v>
      </c>
      <c r="B165" t="s">
        <v>5</v>
      </c>
      <c r="C165" t="s">
        <v>18</v>
      </c>
      <c r="D165" t="s">
        <v>7</v>
      </c>
    </row>
    <row r="166" spans="1:4" x14ac:dyDescent="0.3">
      <c r="A166" t="s">
        <v>34</v>
      </c>
      <c r="B166" t="s">
        <v>5</v>
      </c>
      <c r="C166" t="s">
        <v>19</v>
      </c>
      <c r="D166" t="s">
        <v>7</v>
      </c>
    </row>
    <row r="167" spans="1:4" x14ac:dyDescent="0.3">
      <c r="A167" t="s">
        <v>35</v>
      </c>
      <c r="B167" t="s">
        <v>5</v>
      </c>
      <c r="C167" t="s">
        <v>6</v>
      </c>
      <c r="D167" t="s">
        <v>7</v>
      </c>
    </row>
    <row r="168" spans="1:4" x14ac:dyDescent="0.3">
      <c r="A168" t="s">
        <v>35</v>
      </c>
      <c r="B168" t="s">
        <v>5</v>
      </c>
      <c r="C168" t="s">
        <v>8</v>
      </c>
      <c r="D168" t="s">
        <v>7</v>
      </c>
    </row>
    <row r="169" spans="1:4" x14ac:dyDescent="0.3">
      <c r="A169" t="s">
        <v>35</v>
      </c>
      <c r="B169" t="s">
        <v>5</v>
      </c>
      <c r="C169" t="s">
        <v>9</v>
      </c>
      <c r="D169" t="s">
        <v>7</v>
      </c>
    </row>
    <row r="170" spans="1:4" x14ac:dyDescent="0.3">
      <c r="A170" t="s">
        <v>35</v>
      </c>
      <c r="B170" t="s">
        <v>5</v>
      </c>
      <c r="C170" t="s">
        <v>10</v>
      </c>
      <c r="D170" t="s">
        <v>7</v>
      </c>
    </row>
    <row r="171" spans="1:4" x14ac:dyDescent="0.3">
      <c r="A171" t="s">
        <v>35</v>
      </c>
      <c r="B171" t="s">
        <v>5</v>
      </c>
      <c r="C171" t="s">
        <v>12</v>
      </c>
      <c r="D171" t="s">
        <v>13</v>
      </c>
    </row>
    <row r="172" spans="1:4" x14ac:dyDescent="0.3">
      <c r="A172" t="s">
        <v>35</v>
      </c>
      <c r="B172" t="s">
        <v>5</v>
      </c>
      <c r="C172" t="s">
        <v>14</v>
      </c>
      <c r="D172" t="s">
        <v>7</v>
      </c>
    </row>
    <row r="173" spans="1:4" x14ac:dyDescent="0.3">
      <c r="A173" t="s">
        <v>35</v>
      </c>
      <c r="B173" t="s">
        <v>5</v>
      </c>
      <c r="C173" t="s">
        <v>15</v>
      </c>
      <c r="D173" t="s">
        <v>7</v>
      </c>
    </row>
    <row r="174" spans="1:4" x14ac:dyDescent="0.3">
      <c r="A174" t="s">
        <v>35</v>
      </c>
      <c r="B174" t="s">
        <v>5</v>
      </c>
      <c r="C174" t="s">
        <v>16</v>
      </c>
      <c r="D174" t="s">
        <v>7</v>
      </c>
    </row>
    <row r="175" spans="1:4" x14ac:dyDescent="0.3">
      <c r="A175" t="s">
        <v>35</v>
      </c>
      <c r="B175" t="s">
        <v>5</v>
      </c>
      <c r="C175" t="s">
        <v>17</v>
      </c>
      <c r="D175" t="s">
        <v>7</v>
      </c>
    </row>
    <row r="176" spans="1:4" x14ac:dyDescent="0.3">
      <c r="A176" t="s">
        <v>35</v>
      </c>
      <c r="B176" t="s">
        <v>5</v>
      </c>
      <c r="C176" t="s">
        <v>18</v>
      </c>
      <c r="D176" t="s">
        <v>7</v>
      </c>
    </row>
    <row r="177" spans="1:4" x14ac:dyDescent="0.3">
      <c r="A177" t="s">
        <v>35</v>
      </c>
      <c r="B177" t="s">
        <v>5</v>
      </c>
      <c r="C177" t="s">
        <v>19</v>
      </c>
      <c r="D177" t="s">
        <v>7</v>
      </c>
    </row>
    <row r="178" spans="1:4" x14ac:dyDescent="0.3">
      <c r="A178" t="s">
        <v>36</v>
      </c>
      <c r="B178" t="s">
        <v>5</v>
      </c>
      <c r="C178" t="s">
        <v>6</v>
      </c>
      <c r="D178" t="s">
        <v>7</v>
      </c>
    </row>
    <row r="179" spans="1:4" x14ac:dyDescent="0.3">
      <c r="A179" t="s">
        <v>36</v>
      </c>
      <c r="B179" t="s">
        <v>5</v>
      </c>
      <c r="C179" t="s">
        <v>8</v>
      </c>
      <c r="D179" t="s">
        <v>7</v>
      </c>
    </row>
    <row r="180" spans="1:4" x14ac:dyDescent="0.3">
      <c r="A180" t="s">
        <v>36</v>
      </c>
      <c r="B180" t="s">
        <v>5</v>
      </c>
      <c r="C180" t="s">
        <v>9</v>
      </c>
      <c r="D180" t="s">
        <v>7</v>
      </c>
    </row>
    <row r="181" spans="1:4" x14ac:dyDescent="0.3">
      <c r="A181" t="s">
        <v>36</v>
      </c>
      <c r="B181" t="s">
        <v>5</v>
      </c>
      <c r="C181" t="s">
        <v>10</v>
      </c>
      <c r="D181" t="s">
        <v>13</v>
      </c>
    </row>
    <row r="182" spans="1:4" x14ac:dyDescent="0.3">
      <c r="A182" t="s">
        <v>36</v>
      </c>
      <c r="B182" t="s">
        <v>5</v>
      </c>
      <c r="C182" t="s">
        <v>12</v>
      </c>
      <c r="D182" t="s">
        <v>7</v>
      </c>
    </row>
    <row r="183" spans="1:4" x14ac:dyDescent="0.3">
      <c r="A183" t="s">
        <v>36</v>
      </c>
      <c r="B183" t="s">
        <v>5</v>
      </c>
      <c r="C183" t="s">
        <v>14</v>
      </c>
      <c r="D183" t="s">
        <v>7</v>
      </c>
    </row>
    <row r="184" spans="1:4" x14ac:dyDescent="0.3">
      <c r="A184" t="s">
        <v>36</v>
      </c>
      <c r="B184" t="s">
        <v>5</v>
      </c>
      <c r="C184" t="s">
        <v>15</v>
      </c>
      <c r="D184" t="s">
        <v>7</v>
      </c>
    </row>
    <row r="185" spans="1:4" x14ac:dyDescent="0.3">
      <c r="A185" t="s">
        <v>36</v>
      </c>
      <c r="B185" t="s">
        <v>5</v>
      </c>
      <c r="C185" t="s">
        <v>16</v>
      </c>
      <c r="D185" t="s">
        <v>7</v>
      </c>
    </row>
    <row r="186" spans="1:4" x14ac:dyDescent="0.3">
      <c r="A186" t="s">
        <v>36</v>
      </c>
      <c r="B186" t="s">
        <v>5</v>
      </c>
      <c r="C186" t="s">
        <v>17</v>
      </c>
      <c r="D186" t="s">
        <v>7</v>
      </c>
    </row>
    <row r="187" spans="1:4" x14ac:dyDescent="0.3">
      <c r="A187" t="s">
        <v>36</v>
      </c>
      <c r="B187" t="s">
        <v>5</v>
      </c>
      <c r="C187" t="s">
        <v>18</v>
      </c>
      <c r="D187" t="s">
        <v>7</v>
      </c>
    </row>
    <row r="188" spans="1:4" x14ac:dyDescent="0.3">
      <c r="A188" t="s">
        <v>36</v>
      </c>
      <c r="B188" t="s">
        <v>5</v>
      </c>
      <c r="C188" t="s">
        <v>19</v>
      </c>
      <c r="D188" t="s">
        <v>7</v>
      </c>
    </row>
    <row r="189" spans="1:4" x14ac:dyDescent="0.3">
      <c r="A189" t="s">
        <v>37</v>
      </c>
      <c r="B189" t="s">
        <v>5</v>
      </c>
      <c r="C189" t="s">
        <v>6</v>
      </c>
      <c r="D189" t="s">
        <v>7</v>
      </c>
    </row>
    <row r="190" spans="1:4" x14ac:dyDescent="0.3">
      <c r="A190" t="s">
        <v>37</v>
      </c>
      <c r="B190" t="s">
        <v>5</v>
      </c>
      <c r="C190" t="s">
        <v>8</v>
      </c>
      <c r="D190" t="s">
        <v>7</v>
      </c>
    </row>
    <row r="191" spans="1:4" x14ac:dyDescent="0.3">
      <c r="A191" t="s">
        <v>37</v>
      </c>
      <c r="B191" t="s">
        <v>5</v>
      </c>
      <c r="C191" t="s">
        <v>9</v>
      </c>
      <c r="D191" t="s">
        <v>7</v>
      </c>
    </row>
    <row r="192" spans="1:4" x14ac:dyDescent="0.3">
      <c r="A192" t="s">
        <v>37</v>
      </c>
      <c r="B192" t="s">
        <v>5</v>
      </c>
      <c r="C192" t="s">
        <v>10</v>
      </c>
      <c r="D192" t="s">
        <v>13</v>
      </c>
    </row>
    <row r="193" spans="1:4" x14ac:dyDescent="0.3">
      <c r="A193" t="s">
        <v>37</v>
      </c>
      <c r="B193" t="s">
        <v>5</v>
      </c>
      <c r="C193" t="s">
        <v>12</v>
      </c>
      <c r="D193" t="s">
        <v>7</v>
      </c>
    </row>
    <row r="194" spans="1:4" x14ac:dyDescent="0.3">
      <c r="A194" t="s">
        <v>37</v>
      </c>
      <c r="B194" t="s">
        <v>5</v>
      </c>
      <c r="C194" t="s">
        <v>14</v>
      </c>
      <c r="D194" t="s">
        <v>7</v>
      </c>
    </row>
    <row r="195" spans="1:4" x14ac:dyDescent="0.3">
      <c r="A195" t="s">
        <v>37</v>
      </c>
      <c r="B195" t="s">
        <v>5</v>
      </c>
      <c r="C195" t="s">
        <v>15</v>
      </c>
      <c r="D195" t="s">
        <v>7</v>
      </c>
    </row>
    <row r="196" spans="1:4" x14ac:dyDescent="0.3">
      <c r="A196" t="s">
        <v>37</v>
      </c>
      <c r="B196" t="s">
        <v>5</v>
      </c>
      <c r="C196" t="s">
        <v>16</v>
      </c>
      <c r="D196" t="s">
        <v>7</v>
      </c>
    </row>
    <row r="197" spans="1:4" x14ac:dyDescent="0.3">
      <c r="A197" t="s">
        <v>37</v>
      </c>
      <c r="B197" t="s">
        <v>5</v>
      </c>
      <c r="C197" t="s">
        <v>17</v>
      </c>
      <c r="D197" t="s">
        <v>7</v>
      </c>
    </row>
    <row r="198" spans="1:4" x14ac:dyDescent="0.3">
      <c r="A198" t="s">
        <v>37</v>
      </c>
      <c r="B198" t="s">
        <v>5</v>
      </c>
      <c r="C198" t="s">
        <v>18</v>
      </c>
      <c r="D198" t="s">
        <v>13</v>
      </c>
    </row>
    <row r="199" spans="1:4" x14ac:dyDescent="0.3">
      <c r="A199" t="s">
        <v>37</v>
      </c>
      <c r="B199" t="s">
        <v>5</v>
      </c>
      <c r="C199" t="s">
        <v>19</v>
      </c>
      <c r="D199" t="s">
        <v>7</v>
      </c>
    </row>
    <row r="200" spans="1:4" x14ac:dyDescent="0.3">
      <c r="A200" t="s">
        <v>38</v>
      </c>
      <c r="B200" t="s">
        <v>5</v>
      </c>
      <c r="C200" t="s">
        <v>6</v>
      </c>
      <c r="D200" t="s">
        <v>7</v>
      </c>
    </row>
    <row r="201" spans="1:4" x14ac:dyDescent="0.3">
      <c r="A201" t="s">
        <v>38</v>
      </c>
      <c r="B201" t="s">
        <v>5</v>
      </c>
      <c r="C201" t="s">
        <v>8</v>
      </c>
      <c r="D201" t="s">
        <v>7</v>
      </c>
    </row>
    <row r="202" spans="1:4" x14ac:dyDescent="0.3">
      <c r="A202" t="s">
        <v>38</v>
      </c>
      <c r="B202" t="s">
        <v>5</v>
      </c>
      <c r="C202" t="s">
        <v>9</v>
      </c>
      <c r="D202" t="s">
        <v>7</v>
      </c>
    </row>
    <row r="203" spans="1:4" x14ac:dyDescent="0.3">
      <c r="A203" t="s">
        <v>38</v>
      </c>
      <c r="B203" t="s">
        <v>5</v>
      </c>
      <c r="C203" t="s">
        <v>10</v>
      </c>
      <c r="D203" t="s">
        <v>13</v>
      </c>
    </row>
    <row r="204" spans="1:4" x14ac:dyDescent="0.3">
      <c r="A204" t="s">
        <v>38</v>
      </c>
      <c r="B204" t="s">
        <v>5</v>
      </c>
      <c r="C204" t="s">
        <v>12</v>
      </c>
      <c r="D204" t="s">
        <v>7</v>
      </c>
    </row>
    <row r="205" spans="1:4" x14ac:dyDescent="0.3">
      <c r="A205" t="s">
        <v>38</v>
      </c>
      <c r="B205" t="s">
        <v>5</v>
      </c>
      <c r="C205" t="s">
        <v>14</v>
      </c>
      <c r="D205" t="s">
        <v>7</v>
      </c>
    </row>
    <row r="206" spans="1:4" x14ac:dyDescent="0.3">
      <c r="A206" t="s">
        <v>38</v>
      </c>
      <c r="B206" t="s">
        <v>5</v>
      </c>
      <c r="C206" t="s">
        <v>15</v>
      </c>
      <c r="D206" t="s">
        <v>7</v>
      </c>
    </row>
    <row r="207" spans="1:4" x14ac:dyDescent="0.3">
      <c r="A207" t="s">
        <v>38</v>
      </c>
      <c r="B207" t="s">
        <v>5</v>
      </c>
      <c r="C207" t="s">
        <v>16</v>
      </c>
      <c r="D207" t="s">
        <v>7</v>
      </c>
    </row>
    <row r="208" spans="1:4" x14ac:dyDescent="0.3">
      <c r="A208" t="s">
        <v>38</v>
      </c>
      <c r="B208" t="s">
        <v>5</v>
      </c>
      <c r="C208" t="s">
        <v>17</v>
      </c>
      <c r="D208" t="s">
        <v>7</v>
      </c>
    </row>
    <row r="209" spans="1:4" x14ac:dyDescent="0.3">
      <c r="A209" t="s">
        <v>38</v>
      </c>
      <c r="B209" t="s">
        <v>5</v>
      </c>
      <c r="C209" t="s">
        <v>18</v>
      </c>
      <c r="D209" t="s">
        <v>7</v>
      </c>
    </row>
    <row r="210" spans="1:4" x14ac:dyDescent="0.3">
      <c r="A210" t="s">
        <v>38</v>
      </c>
      <c r="B210" t="s">
        <v>5</v>
      </c>
      <c r="C210" t="s">
        <v>19</v>
      </c>
      <c r="D210" t="s">
        <v>7</v>
      </c>
    </row>
    <row r="211" spans="1:4" x14ac:dyDescent="0.3">
      <c r="A211" t="s">
        <v>39</v>
      </c>
      <c r="B211" t="s">
        <v>5</v>
      </c>
      <c r="C211" t="s">
        <v>6</v>
      </c>
      <c r="D211" t="s">
        <v>7</v>
      </c>
    </row>
    <row r="212" spans="1:4" x14ac:dyDescent="0.3">
      <c r="A212" t="s">
        <v>39</v>
      </c>
      <c r="B212" t="s">
        <v>5</v>
      </c>
      <c r="C212" t="s">
        <v>8</v>
      </c>
      <c r="D212" t="s">
        <v>7</v>
      </c>
    </row>
    <row r="213" spans="1:4" x14ac:dyDescent="0.3">
      <c r="A213" t="s">
        <v>39</v>
      </c>
      <c r="B213" t="s">
        <v>5</v>
      </c>
      <c r="C213" t="s">
        <v>9</v>
      </c>
      <c r="D213" t="s">
        <v>7</v>
      </c>
    </row>
    <row r="214" spans="1:4" x14ac:dyDescent="0.3">
      <c r="A214" t="s">
        <v>39</v>
      </c>
      <c r="B214" t="s">
        <v>5</v>
      </c>
      <c r="C214" t="s">
        <v>10</v>
      </c>
      <c r="D214" t="s">
        <v>13</v>
      </c>
    </row>
    <row r="215" spans="1:4" x14ac:dyDescent="0.3">
      <c r="A215" t="s">
        <v>39</v>
      </c>
      <c r="B215" t="s">
        <v>5</v>
      </c>
      <c r="C215" t="s">
        <v>12</v>
      </c>
      <c r="D215" t="s">
        <v>7</v>
      </c>
    </row>
    <row r="216" spans="1:4" x14ac:dyDescent="0.3">
      <c r="A216" t="s">
        <v>39</v>
      </c>
      <c r="B216" t="s">
        <v>5</v>
      </c>
      <c r="C216" t="s">
        <v>14</v>
      </c>
      <c r="D216" t="s">
        <v>7</v>
      </c>
    </row>
    <row r="217" spans="1:4" x14ac:dyDescent="0.3">
      <c r="A217" t="s">
        <v>39</v>
      </c>
      <c r="B217" t="s">
        <v>5</v>
      </c>
      <c r="C217" t="s">
        <v>15</v>
      </c>
      <c r="D217" t="s">
        <v>7</v>
      </c>
    </row>
    <row r="218" spans="1:4" x14ac:dyDescent="0.3">
      <c r="A218" t="s">
        <v>39</v>
      </c>
      <c r="B218" t="s">
        <v>5</v>
      </c>
      <c r="C218" t="s">
        <v>16</v>
      </c>
      <c r="D218" t="s">
        <v>7</v>
      </c>
    </row>
    <row r="219" spans="1:4" x14ac:dyDescent="0.3">
      <c r="A219" t="s">
        <v>39</v>
      </c>
      <c r="B219" t="s">
        <v>5</v>
      </c>
      <c r="C219" t="s">
        <v>17</v>
      </c>
      <c r="D219" t="s">
        <v>7</v>
      </c>
    </row>
    <row r="220" spans="1:4" x14ac:dyDescent="0.3">
      <c r="A220" t="s">
        <v>39</v>
      </c>
      <c r="B220" t="s">
        <v>5</v>
      </c>
      <c r="C220" t="s">
        <v>18</v>
      </c>
      <c r="D220" t="s">
        <v>7</v>
      </c>
    </row>
    <row r="221" spans="1:4" x14ac:dyDescent="0.3">
      <c r="A221" t="s">
        <v>39</v>
      </c>
      <c r="B221" t="s">
        <v>5</v>
      </c>
      <c r="C221" t="s">
        <v>19</v>
      </c>
      <c r="D221" t="s">
        <v>7</v>
      </c>
    </row>
    <row r="222" spans="1:4" x14ac:dyDescent="0.3">
      <c r="A222" t="s">
        <v>40</v>
      </c>
      <c r="B222" t="s">
        <v>5</v>
      </c>
      <c r="C222" t="s">
        <v>6</v>
      </c>
      <c r="D222" t="s">
        <v>7</v>
      </c>
    </row>
    <row r="223" spans="1:4" x14ac:dyDescent="0.3">
      <c r="A223" t="s">
        <v>40</v>
      </c>
      <c r="B223" t="s">
        <v>5</v>
      </c>
      <c r="C223" t="s">
        <v>8</v>
      </c>
      <c r="D223" t="s">
        <v>7</v>
      </c>
    </row>
    <row r="224" spans="1:4" x14ac:dyDescent="0.3">
      <c r="A224" t="s">
        <v>40</v>
      </c>
      <c r="B224" t="s">
        <v>5</v>
      </c>
      <c r="C224" t="s">
        <v>9</v>
      </c>
      <c r="D224" t="s">
        <v>7</v>
      </c>
    </row>
    <row r="225" spans="1:4" x14ac:dyDescent="0.3">
      <c r="A225" t="s">
        <v>40</v>
      </c>
      <c r="B225" t="s">
        <v>5</v>
      </c>
      <c r="C225" t="s">
        <v>10</v>
      </c>
      <c r="D225" t="s">
        <v>13</v>
      </c>
    </row>
    <row r="226" spans="1:4" x14ac:dyDescent="0.3">
      <c r="A226" t="s">
        <v>40</v>
      </c>
      <c r="B226" t="s">
        <v>5</v>
      </c>
      <c r="C226" t="s">
        <v>12</v>
      </c>
      <c r="D226" t="s">
        <v>7</v>
      </c>
    </row>
    <row r="227" spans="1:4" x14ac:dyDescent="0.3">
      <c r="A227" t="s">
        <v>40</v>
      </c>
      <c r="B227" t="s">
        <v>5</v>
      </c>
      <c r="C227" t="s">
        <v>14</v>
      </c>
      <c r="D227" t="s">
        <v>7</v>
      </c>
    </row>
    <row r="228" spans="1:4" x14ac:dyDescent="0.3">
      <c r="A228" t="s">
        <v>40</v>
      </c>
      <c r="B228" t="s">
        <v>5</v>
      </c>
      <c r="C228" t="s">
        <v>15</v>
      </c>
      <c r="D228" t="s">
        <v>7</v>
      </c>
    </row>
    <row r="229" spans="1:4" x14ac:dyDescent="0.3">
      <c r="A229" t="s">
        <v>40</v>
      </c>
      <c r="B229" t="s">
        <v>5</v>
      </c>
      <c r="C229" t="s">
        <v>16</v>
      </c>
      <c r="D229" t="s">
        <v>7</v>
      </c>
    </row>
    <row r="230" spans="1:4" x14ac:dyDescent="0.3">
      <c r="A230" t="s">
        <v>40</v>
      </c>
      <c r="B230" t="s">
        <v>5</v>
      </c>
      <c r="C230" t="s">
        <v>17</v>
      </c>
      <c r="D230" t="s">
        <v>7</v>
      </c>
    </row>
    <row r="231" spans="1:4" x14ac:dyDescent="0.3">
      <c r="A231" t="s">
        <v>40</v>
      </c>
      <c r="B231" t="s">
        <v>5</v>
      </c>
      <c r="C231" t="s">
        <v>18</v>
      </c>
      <c r="D231" t="s">
        <v>7</v>
      </c>
    </row>
    <row r="232" spans="1:4" x14ac:dyDescent="0.3">
      <c r="A232" t="s">
        <v>40</v>
      </c>
      <c r="B232" t="s">
        <v>5</v>
      </c>
      <c r="C232" t="s">
        <v>19</v>
      </c>
      <c r="D232" t="s">
        <v>7</v>
      </c>
    </row>
    <row r="233" spans="1:4" x14ac:dyDescent="0.3">
      <c r="A233" t="s">
        <v>41</v>
      </c>
      <c r="B233" t="s">
        <v>5</v>
      </c>
      <c r="C233" t="s">
        <v>6</v>
      </c>
      <c r="D233" t="s">
        <v>7</v>
      </c>
    </row>
    <row r="234" spans="1:4" x14ac:dyDescent="0.3">
      <c r="A234" t="s">
        <v>41</v>
      </c>
      <c r="B234" t="s">
        <v>5</v>
      </c>
      <c r="C234" t="s">
        <v>8</v>
      </c>
      <c r="D234" t="s">
        <v>7</v>
      </c>
    </row>
    <row r="235" spans="1:4" x14ac:dyDescent="0.3">
      <c r="A235" t="s">
        <v>41</v>
      </c>
      <c r="B235" t="s">
        <v>5</v>
      </c>
      <c r="C235" t="s">
        <v>9</v>
      </c>
      <c r="D235" t="s">
        <v>7</v>
      </c>
    </row>
    <row r="236" spans="1:4" x14ac:dyDescent="0.3">
      <c r="A236" t="s">
        <v>41</v>
      </c>
      <c r="B236" t="s">
        <v>5</v>
      </c>
      <c r="C236" t="s">
        <v>10</v>
      </c>
      <c r="D236" t="s">
        <v>13</v>
      </c>
    </row>
    <row r="237" spans="1:4" x14ac:dyDescent="0.3">
      <c r="A237" t="s">
        <v>41</v>
      </c>
      <c r="B237" t="s">
        <v>5</v>
      </c>
      <c r="C237" t="s">
        <v>12</v>
      </c>
      <c r="D237" t="s">
        <v>13</v>
      </c>
    </row>
    <row r="238" spans="1:4" x14ac:dyDescent="0.3">
      <c r="A238" t="s">
        <v>41</v>
      </c>
      <c r="B238" t="s">
        <v>5</v>
      </c>
      <c r="C238" t="s">
        <v>14</v>
      </c>
      <c r="D238" t="s">
        <v>7</v>
      </c>
    </row>
    <row r="239" spans="1:4" x14ac:dyDescent="0.3">
      <c r="A239" t="s">
        <v>41</v>
      </c>
      <c r="B239" t="s">
        <v>5</v>
      </c>
      <c r="C239" t="s">
        <v>15</v>
      </c>
      <c r="D239" t="s">
        <v>7</v>
      </c>
    </row>
    <row r="240" spans="1:4" x14ac:dyDescent="0.3">
      <c r="A240" t="s">
        <v>41</v>
      </c>
      <c r="B240" t="s">
        <v>5</v>
      </c>
      <c r="C240" t="s">
        <v>16</v>
      </c>
      <c r="D240" t="s">
        <v>7</v>
      </c>
    </row>
    <row r="241" spans="1:4" x14ac:dyDescent="0.3">
      <c r="A241" t="s">
        <v>41</v>
      </c>
      <c r="B241" t="s">
        <v>5</v>
      </c>
      <c r="C241" t="s">
        <v>17</v>
      </c>
      <c r="D241" t="s">
        <v>7</v>
      </c>
    </row>
    <row r="242" spans="1:4" x14ac:dyDescent="0.3">
      <c r="A242" t="s">
        <v>41</v>
      </c>
      <c r="B242" t="s">
        <v>5</v>
      </c>
      <c r="C242" t="s">
        <v>18</v>
      </c>
      <c r="D242" t="s">
        <v>13</v>
      </c>
    </row>
    <row r="243" spans="1:4" x14ac:dyDescent="0.3">
      <c r="A243" t="s">
        <v>41</v>
      </c>
      <c r="B243" t="s">
        <v>5</v>
      </c>
      <c r="C243" t="s">
        <v>19</v>
      </c>
      <c r="D243" t="s">
        <v>7</v>
      </c>
    </row>
    <row r="244" spans="1:4" x14ac:dyDescent="0.3">
      <c r="A244" t="s">
        <v>42</v>
      </c>
      <c r="B244" t="s">
        <v>5</v>
      </c>
      <c r="C244" t="s">
        <v>6</v>
      </c>
      <c r="D244" t="s">
        <v>7</v>
      </c>
    </row>
    <row r="245" spans="1:4" x14ac:dyDescent="0.3">
      <c r="A245" t="s">
        <v>42</v>
      </c>
      <c r="B245" t="s">
        <v>5</v>
      </c>
      <c r="C245" t="s">
        <v>8</v>
      </c>
      <c r="D245" t="s">
        <v>7</v>
      </c>
    </row>
    <row r="246" spans="1:4" x14ac:dyDescent="0.3">
      <c r="A246" t="s">
        <v>42</v>
      </c>
      <c r="B246" t="s">
        <v>5</v>
      </c>
      <c r="C246" t="s">
        <v>9</v>
      </c>
      <c r="D246" t="s">
        <v>7</v>
      </c>
    </row>
    <row r="247" spans="1:4" x14ac:dyDescent="0.3">
      <c r="A247" t="s">
        <v>42</v>
      </c>
      <c r="B247" t="s">
        <v>5</v>
      </c>
      <c r="C247" t="s">
        <v>10</v>
      </c>
      <c r="D247" t="s">
        <v>13</v>
      </c>
    </row>
    <row r="248" spans="1:4" x14ac:dyDescent="0.3">
      <c r="A248" t="s">
        <v>42</v>
      </c>
      <c r="B248" t="s">
        <v>5</v>
      </c>
      <c r="C248" t="s">
        <v>12</v>
      </c>
      <c r="D248" t="s">
        <v>7</v>
      </c>
    </row>
    <row r="249" spans="1:4" x14ac:dyDescent="0.3">
      <c r="A249" t="s">
        <v>42</v>
      </c>
      <c r="B249" t="s">
        <v>5</v>
      </c>
      <c r="C249" t="s">
        <v>14</v>
      </c>
      <c r="D249" t="s">
        <v>7</v>
      </c>
    </row>
    <row r="250" spans="1:4" x14ac:dyDescent="0.3">
      <c r="A250" t="s">
        <v>42</v>
      </c>
      <c r="B250" t="s">
        <v>5</v>
      </c>
      <c r="C250" t="s">
        <v>15</v>
      </c>
      <c r="D250" t="s">
        <v>7</v>
      </c>
    </row>
    <row r="251" spans="1:4" x14ac:dyDescent="0.3">
      <c r="A251" t="s">
        <v>42</v>
      </c>
      <c r="B251" t="s">
        <v>5</v>
      </c>
      <c r="C251" t="s">
        <v>16</v>
      </c>
      <c r="D251" t="s">
        <v>7</v>
      </c>
    </row>
    <row r="252" spans="1:4" x14ac:dyDescent="0.3">
      <c r="A252" t="s">
        <v>42</v>
      </c>
      <c r="B252" t="s">
        <v>5</v>
      </c>
      <c r="C252" t="s">
        <v>17</v>
      </c>
      <c r="D252" t="s">
        <v>7</v>
      </c>
    </row>
    <row r="253" spans="1:4" x14ac:dyDescent="0.3">
      <c r="A253" t="s">
        <v>42</v>
      </c>
      <c r="B253" t="s">
        <v>5</v>
      </c>
      <c r="C253" t="s">
        <v>18</v>
      </c>
      <c r="D253" t="s">
        <v>7</v>
      </c>
    </row>
    <row r="254" spans="1:4" x14ac:dyDescent="0.3">
      <c r="A254" t="s">
        <v>42</v>
      </c>
      <c r="B254" t="s">
        <v>5</v>
      </c>
      <c r="C254" t="s">
        <v>19</v>
      </c>
      <c r="D254" t="s">
        <v>7</v>
      </c>
    </row>
    <row r="255" spans="1:4" x14ac:dyDescent="0.3">
      <c r="A255" t="s">
        <v>43</v>
      </c>
      <c r="B255" t="s">
        <v>5</v>
      </c>
      <c r="C255" t="s">
        <v>6</v>
      </c>
      <c r="D255" t="s">
        <v>7</v>
      </c>
    </row>
    <row r="256" spans="1:4" x14ac:dyDescent="0.3">
      <c r="A256" t="s">
        <v>43</v>
      </c>
      <c r="B256" t="s">
        <v>5</v>
      </c>
      <c r="C256" t="s">
        <v>8</v>
      </c>
      <c r="D256" t="s">
        <v>7</v>
      </c>
    </row>
    <row r="257" spans="1:4" x14ac:dyDescent="0.3">
      <c r="A257" t="s">
        <v>43</v>
      </c>
      <c r="B257" t="s">
        <v>5</v>
      </c>
      <c r="C257" t="s">
        <v>9</v>
      </c>
      <c r="D257" t="s">
        <v>7</v>
      </c>
    </row>
    <row r="258" spans="1:4" x14ac:dyDescent="0.3">
      <c r="A258" t="s">
        <v>43</v>
      </c>
      <c r="B258" t="s">
        <v>5</v>
      </c>
      <c r="C258" t="s">
        <v>10</v>
      </c>
      <c r="D258" t="s">
        <v>13</v>
      </c>
    </row>
    <row r="259" spans="1:4" x14ac:dyDescent="0.3">
      <c r="A259" t="s">
        <v>43</v>
      </c>
      <c r="B259" t="s">
        <v>5</v>
      </c>
      <c r="C259" t="s">
        <v>12</v>
      </c>
      <c r="D259" t="s">
        <v>7</v>
      </c>
    </row>
    <row r="260" spans="1:4" x14ac:dyDescent="0.3">
      <c r="A260" t="s">
        <v>43</v>
      </c>
      <c r="B260" t="s">
        <v>5</v>
      </c>
      <c r="C260" t="s">
        <v>14</v>
      </c>
      <c r="D260" t="s">
        <v>7</v>
      </c>
    </row>
    <row r="261" spans="1:4" x14ac:dyDescent="0.3">
      <c r="A261" t="s">
        <v>43</v>
      </c>
      <c r="B261" t="s">
        <v>5</v>
      </c>
      <c r="C261" t="s">
        <v>15</v>
      </c>
      <c r="D261" t="s">
        <v>7</v>
      </c>
    </row>
    <row r="262" spans="1:4" x14ac:dyDescent="0.3">
      <c r="A262" t="s">
        <v>43</v>
      </c>
      <c r="B262" t="s">
        <v>5</v>
      </c>
      <c r="C262" t="s">
        <v>16</v>
      </c>
      <c r="D262" t="s">
        <v>7</v>
      </c>
    </row>
    <row r="263" spans="1:4" x14ac:dyDescent="0.3">
      <c r="A263" t="s">
        <v>43</v>
      </c>
      <c r="B263" t="s">
        <v>5</v>
      </c>
      <c r="C263" t="s">
        <v>17</v>
      </c>
      <c r="D263" t="s">
        <v>7</v>
      </c>
    </row>
    <row r="264" spans="1:4" x14ac:dyDescent="0.3">
      <c r="A264" t="s">
        <v>43</v>
      </c>
      <c r="B264" t="s">
        <v>5</v>
      </c>
      <c r="C264" t="s">
        <v>18</v>
      </c>
      <c r="D264" t="s">
        <v>7</v>
      </c>
    </row>
    <row r="265" spans="1:4" x14ac:dyDescent="0.3">
      <c r="A265" t="s">
        <v>43</v>
      </c>
      <c r="B265" t="s">
        <v>5</v>
      </c>
      <c r="C265" t="s">
        <v>19</v>
      </c>
      <c r="D265" t="s">
        <v>7</v>
      </c>
    </row>
    <row r="266" spans="1:4" x14ac:dyDescent="0.3">
      <c r="A266" t="s">
        <v>44</v>
      </c>
      <c r="B266" t="s">
        <v>21</v>
      </c>
      <c r="C266" t="s">
        <v>6</v>
      </c>
      <c r="D266" t="s">
        <v>7</v>
      </c>
    </row>
    <row r="267" spans="1:4" x14ac:dyDescent="0.3">
      <c r="A267" t="s">
        <v>44</v>
      </c>
      <c r="B267" t="s">
        <v>21</v>
      </c>
      <c r="C267" t="s">
        <v>8</v>
      </c>
      <c r="D267" t="s">
        <v>7</v>
      </c>
    </row>
    <row r="268" spans="1:4" x14ac:dyDescent="0.3">
      <c r="A268" t="s">
        <v>44</v>
      </c>
      <c r="B268" t="s">
        <v>21</v>
      </c>
      <c r="C268" t="s">
        <v>9</v>
      </c>
      <c r="D268" t="s">
        <v>7</v>
      </c>
    </row>
    <row r="269" spans="1:4" x14ac:dyDescent="0.3">
      <c r="A269" t="s">
        <v>44</v>
      </c>
      <c r="B269" t="s">
        <v>21</v>
      </c>
      <c r="C269" t="s">
        <v>10</v>
      </c>
      <c r="D269" t="s">
        <v>13</v>
      </c>
    </row>
    <row r="270" spans="1:4" x14ac:dyDescent="0.3">
      <c r="A270" t="s">
        <v>44</v>
      </c>
      <c r="B270" t="s">
        <v>21</v>
      </c>
      <c r="C270" t="s">
        <v>12</v>
      </c>
      <c r="D270" t="s">
        <v>13</v>
      </c>
    </row>
    <row r="271" spans="1:4" x14ac:dyDescent="0.3">
      <c r="A271" t="s">
        <v>44</v>
      </c>
      <c r="B271" t="s">
        <v>21</v>
      </c>
      <c r="C271" t="s">
        <v>14</v>
      </c>
      <c r="D271" t="s">
        <v>13</v>
      </c>
    </row>
    <row r="272" spans="1:4" x14ac:dyDescent="0.3">
      <c r="A272" t="s">
        <v>44</v>
      </c>
      <c r="B272" t="s">
        <v>21</v>
      </c>
      <c r="C272" t="s">
        <v>15</v>
      </c>
      <c r="D272" t="s">
        <v>13</v>
      </c>
    </row>
    <row r="273" spans="1:4" x14ac:dyDescent="0.3">
      <c r="A273" t="s">
        <v>44</v>
      </c>
      <c r="B273" t="s">
        <v>21</v>
      </c>
      <c r="C273" t="s">
        <v>16</v>
      </c>
      <c r="D273" t="s">
        <v>7</v>
      </c>
    </row>
    <row r="274" spans="1:4" x14ac:dyDescent="0.3">
      <c r="A274" t="s">
        <v>44</v>
      </c>
      <c r="B274" t="s">
        <v>21</v>
      </c>
      <c r="C274" t="s">
        <v>17</v>
      </c>
      <c r="D274" t="s">
        <v>7</v>
      </c>
    </row>
    <row r="275" spans="1:4" x14ac:dyDescent="0.3">
      <c r="A275" t="s">
        <v>44</v>
      </c>
      <c r="B275" t="s">
        <v>21</v>
      </c>
      <c r="C275" t="s">
        <v>18</v>
      </c>
      <c r="D275" t="s">
        <v>13</v>
      </c>
    </row>
    <row r="276" spans="1:4" x14ac:dyDescent="0.3">
      <c r="A276" t="s">
        <v>44</v>
      </c>
      <c r="B276" t="s">
        <v>21</v>
      </c>
      <c r="C276" t="s">
        <v>19</v>
      </c>
      <c r="D276" t="s">
        <v>7</v>
      </c>
    </row>
    <row r="277" spans="1:4" x14ac:dyDescent="0.3">
      <c r="A277" t="s">
        <v>45</v>
      </c>
      <c r="B277" t="s">
        <v>21</v>
      </c>
      <c r="C277" t="s">
        <v>6</v>
      </c>
      <c r="D277" t="s">
        <v>7</v>
      </c>
    </row>
    <row r="278" spans="1:4" x14ac:dyDescent="0.3">
      <c r="A278" t="s">
        <v>45</v>
      </c>
      <c r="B278" t="s">
        <v>21</v>
      </c>
      <c r="C278" t="s">
        <v>8</v>
      </c>
      <c r="D278" t="s">
        <v>7</v>
      </c>
    </row>
    <row r="279" spans="1:4" x14ac:dyDescent="0.3">
      <c r="A279" t="s">
        <v>45</v>
      </c>
      <c r="B279" t="s">
        <v>21</v>
      </c>
      <c r="C279" t="s">
        <v>9</v>
      </c>
      <c r="D279" t="s">
        <v>7</v>
      </c>
    </row>
    <row r="280" spans="1:4" x14ac:dyDescent="0.3">
      <c r="A280" t="s">
        <v>45</v>
      </c>
      <c r="B280" t="s">
        <v>21</v>
      </c>
      <c r="C280" t="s">
        <v>10</v>
      </c>
      <c r="D280" t="s">
        <v>13</v>
      </c>
    </row>
    <row r="281" spans="1:4" x14ac:dyDescent="0.3">
      <c r="A281" t="s">
        <v>45</v>
      </c>
      <c r="B281" t="s">
        <v>21</v>
      </c>
      <c r="C281" t="s">
        <v>12</v>
      </c>
      <c r="D281" t="s">
        <v>7</v>
      </c>
    </row>
    <row r="282" spans="1:4" x14ac:dyDescent="0.3">
      <c r="A282" t="s">
        <v>45</v>
      </c>
      <c r="B282" t="s">
        <v>21</v>
      </c>
      <c r="C282" t="s">
        <v>14</v>
      </c>
      <c r="D282" t="s">
        <v>7</v>
      </c>
    </row>
    <row r="283" spans="1:4" x14ac:dyDescent="0.3">
      <c r="A283" t="s">
        <v>45</v>
      </c>
      <c r="B283" t="s">
        <v>21</v>
      </c>
      <c r="C283" t="s">
        <v>15</v>
      </c>
      <c r="D283" t="s">
        <v>13</v>
      </c>
    </row>
    <row r="284" spans="1:4" x14ac:dyDescent="0.3">
      <c r="A284" t="s">
        <v>45</v>
      </c>
      <c r="B284" t="s">
        <v>21</v>
      </c>
      <c r="C284" t="s">
        <v>16</v>
      </c>
      <c r="D284" t="s">
        <v>7</v>
      </c>
    </row>
    <row r="285" spans="1:4" x14ac:dyDescent="0.3">
      <c r="A285" t="s">
        <v>45</v>
      </c>
      <c r="B285" t="s">
        <v>21</v>
      </c>
      <c r="C285" t="s">
        <v>17</v>
      </c>
      <c r="D285" t="s">
        <v>7</v>
      </c>
    </row>
    <row r="286" spans="1:4" x14ac:dyDescent="0.3">
      <c r="A286" t="s">
        <v>45</v>
      </c>
      <c r="B286" t="s">
        <v>21</v>
      </c>
      <c r="C286" t="s">
        <v>18</v>
      </c>
      <c r="D286" t="s">
        <v>13</v>
      </c>
    </row>
    <row r="287" spans="1:4" x14ac:dyDescent="0.3">
      <c r="A287" t="s">
        <v>45</v>
      </c>
      <c r="B287" t="s">
        <v>21</v>
      </c>
      <c r="C287" t="s">
        <v>19</v>
      </c>
      <c r="D287" t="s">
        <v>7</v>
      </c>
    </row>
    <row r="288" spans="1:4" x14ac:dyDescent="0.3">
      <c r="A288" t="s">
        <v>46</v>
      </c>
      <c r="B288" t="s">
        <v>21</v>
      </c>
      <c r="C288" t="s">
        <v>6</v>
      </c>
      <c r="D288" t="s">
        <v>7</v>
      </c>
    </row>
    <row r="289" spans="1:4" x14ac:dyDescent="0.3">
      <c r="A289" t="s">
        <v>46</v>
      </c>
      <c r="B289" t="s">
        <v>21</v>
      </c>
      <c r="C289" t="s">
        <v>8</v>
      </c>
      <c r="D289" t="s">
        <v>7</v>
      </c>
    </row>
    <row r="290" spans="1:4" x14ac:dyDescent="0.3">
      <c r="A290" t="s">
        <v>46</v>
      </c>
      <c r="B290" t="s">
        <v>21</v>
      </c>
      <c r="C290" t="s">
        <v>9</v>
      </c>
      <c r="D290" t="s">
        <v>7</v>
      </c>
    </row>
    <row r="291" spans="1:4" x14ac:dyDescent="0.3">
      <c r="A291" t="s">
        <v>46</v>
      </c>
      <c r="B291" t="s">
        <v>21</v>
      </c>
      <c r="C291" t="s">
        <v>10</v>
      </c>
      <c r="D291" t="s">
        <v>13</v>
      </c>
    </row>
    <row r="292" spans="1:4" x14ac:dyDescent="0.3">
      <c r="A292" t="s">
        <v>46</v>
      </c>
      <c r="B292" t="s">
        <v>21</v>
      </c>
      <c r="C292" t="s">
        <v>12</v>
      </c>
      <c r="D292" t="s">
        <v>7</v>
      </c>
    </row>
    <row r="293" spans="1:4" x14ac:dyDescent="0.3">
      <c r="A293" t="s">
        <v>46</v>
      </c>
      <c r="B293" t="s">
        <v>21</v>
      </c>
      <c r="C293" t="s">
        <v>14</v>
      </c>
      <c r="D293" t="s">
        <v>7</v>
      </c>
    </row>
    <row r="294" spans="1:4" x14ac:dyDescent="0.3">
      <c r="A294" t="s">
        <v>46</v>
      </c>
      <c r="B294" t="s">
        <v>21</v>
      </c>
      <c r="C294" t="s">
        <v>15</v>
      </c>
      <c r="D294" t="s">
        <v>13</v>
      </c>
    </row>
    <row r="295" spans="1:4" x14ac:dyDescent="0.3">
      <c r="A295" t="s">
        <v>46</v>
      </c>
      <c r="B295" t="s">
        <v>21</v>
      </c>
      <c r="C295" t="s">
        <v>16</v>
      </c>
      <c r="D295" t="s">
        <v>7</v>
      </c>
    </row>
    <row r="296" spans="1:4" x14ac:dyDescent="0.3">
      <c r="A296" t="s">
        <v>46</v>
      </c>
      <c r="B296" t="s">
        <v>21</v>
      </c>
      <c r="C296" t="s">
        <v>17</v>
      </c>
      <c r="D296" t="s">
        <v>7</v>
      </c>
    </row>
    <row r="297" spans="1:4" x14ac:dyDescent="0.3">
      <c r="A297" t="s">
        <v>46</v>
      </c>
      <c r="B297" t="s">
        <v>21</v>
      </c>
      <c r="C297" t="s">
        <v>18</v>
      </c>
      <c r="D297" t="s">
        <v>13</v>
      </c>
    </row>
    <row r="298" spans="1:4" x14ac:dyDescent="0.3">
      <c r="A298" t="s">
        <v>46</v>
      </c>
      <c r="B298" t="s">
        <v>21</v>
      </c>
      <c r="C298" t="s">
        <v>19</v>
      </c>
      <c r="D298" t="s">
        <v>7</v>
      </c>
    </row>
    <row r="299" spans="1:4" x14ac:dyDescent="0.3">
      <c r="A299" t="s">
        <v>47</v>
      </c>
      <c r="B299" t="s">
        <v>21</v>
      </c>
      <c r="C299" t="s">
        <v>6</v>
      </c>
      <c r="D299" t="s">
        <v>13</v>
      </c>
    </row>
    <row r="300" spans="1:4" x14ac:dyDescent="0.3">
      <c r="A300" t="s">
        <v>47</v>
      </c>
      <c r="B300" t="s">
        <v>21</v>
      </c>
      <c r="C300" t="s">
        <v>8</v>
      </c>
      <c r="D300" t="s">
        <v>7</v>
      </c>
    </row>
    <row r="301" spans="1:4" x14ac:dyDescent="0.3">
      <c r="A301" t="s">
        <v>47</v>
      </c>
      <c r="B301" t="s">
        <v>21</v>
      </c>
      <c r="C301" t="s">
        <v>9</v>
      </c>
      <c r="D301" t="s">
        <v>7</v>
      </c>
    </row>
    <row r="302" spans="1:4" x14ac:dyDescent="0.3">
      <c r="A302" t="s">
        <v>47</v>
      </c>
      <c r="B302" t="s">
        <v>21</v>
      </c>
      <c r="C302" t="s">
        <v>10</v>
      </c>
      <c r="D302" t="s">
        <v>13</v>
      </c>
    </row>
    <row r="303" spans="1:4" x14ac:dyDescent="0.3">
      <c r="A303" t="s">
        <v>47</v>
      </c>
      <c r="B303" t="s">
        <v>21</v>
      </c>
      <c r="C303" t="s">
        <v>12</v>
      </c>
      <c r="D303" t="s">
        <v>13</v>
      </c>
    </row>
    <row r="304" spans="1:4" x14ac:dyDescent="0.3">
      <c r="A304" t="s">
        <v>47</v>
      </c>
      <c r="B304" t="s">
        <v>21</v>
      </c>
      <c r="C304" t="s">
        <v>14</v>
      </c>
      <c r="D304" t="s">
        <v>7</v>
      </c>
    </row>
    <row r="305" spans="1:4" x14ac:dyDescent="0.3">
      <c r="A305" t="s">
        <v>47</v>
      </c>
      <c r="B305" t="s">
        <v>21</v>
      </c>
      <c r="C305" t="s">
        <v>15</v>
      </c>
      <c r="D305" t="s">
        <v>13</v>
      </c>
    </row>
    <row r="306" spans="1:4" x14ac:dyDescent="0.3">
      <c r="A306" t="s">
        <v>47</v>
      </c>
      <c r="B306" t="s">
        <v>21</v>
      </c>
      <c r="C306" t="s">
        <v>16</v>
      </c>
      <c r="D306" t="s">
        <v>7</v>
      </c>
    </row>
    <row r="307" spans="1:4" x14ac:dyDescent="0.3">
      <c r="A307" t="s">
        <v>47</v>
      </c>
      <c r="B307" t="s">
        <v>21</v>
      </c>
      <c r="C307" t="s">
        <v>17</v>
      </c>
      <c r="D307" t="s">
        <v>7</v>
      </c>
    </row>
    <row r="308" spans="1:4" x14ac:dyDescent="0.3">
      <c r="A308" t="s">
        <v>47</v>
      </c>
      <c r="B308" t="s">
        <v>21</v>
      </c>
      <c r="C308" t="s">
        <v>18</v>
      </c>
      <c r="D308" t="s">
        <v>13</v>
      </c>
    </row>
    <row r="309" spans="1:4" x14ac:dyDescent="0.3">
      <c r="A309" t="s">
        <v>47</v>
      </c>
      <c r="B309" t="s">
        <v>21</v>
      </c>
      <c r="C309" t="s">
        <v>19</v>
      </c>
      <c r="D309" t="s">
        <v>7</v>
      </c>
    </row>
    <row r="310" spans="1:4" x14ac:dyDescent="0.3">
      <c r="A310" t="s">
        <v>48</v>
      </c>
      <c r="B310" t="s">
        <v>21</v>
      </c>
      <c r="C310" t="s">
        <v>6</v>
      </c>
      <c r="D310" t="s">
        <v>7</v>
      </c>
    </row>
    <row r="311" spans="1:4" x14ac:dyDescent="0.3">
      <c r="A311" t="s">
        <v>48</v>
      </c>
      <c r="B311" t="s">
        <v>21</v>
      </c>
      <c r="C311" t="s">
        <v>8</v>
      </c>
      <c r="D311" t="s">
        <v>7</v>
      </c>
    </row>
    <row r="312" spans="1:4" x14ac:dyDescent="0.3">
      <c r="A312" t="s">
        <v>48</v>
      </c>
      <c r="B312" t="s">
        <v>21</v>
      </c>
      <c r="C312" t="s">
        <v>9</v>
      </c>
      <c r="D312" t="s">
        <v>7</v>
      </c>
    </row>
    <row r="313" spans="1:4" x14ac:dyDescent="0.3">
      <c r="A313" t="s">
        <v>48</v>
      </c>
      <c r="B313" t="s">
        <v>21</v>
      </c>
      <c r="C313" t="s">
        <v>10</v>
      </c>
      <c r="D313" t="s">
        <v>7</v>
      </c>
    </row>
    <row r="314" spans="1:4" x14ac:dyDescent="0.3">
      <c r="A314" t="s">
        <v>48</v>
      </c>
      <c r="B314" t="s">
        <v>21</v>
      </c>
      <c r="C314" t="s">
        <v>12</v>
      </c>
      <c r="D314" t="s">
        <v>7</v>
      </c>
    </row>
    <row r="315" spans="1:4" x14ac:dyDescent="0.3">
      <c r="A315" t="s">
        <v>48</v>
      </c>
      <c r="B315" t="s">
        <v>21</v>
      </c>
      <c r="C315" t="s">
        <v>14</v>
      </c>
      <c r="D315" t="s">
        <v>7</v>
      </c>
    </row>
    <row r="316" spans="1:4" x14ac:dyDescent="0.3">
      <c r="A316" t="s">
        <v>48</v>
      </c>
      <c r="B316" t="s">
        <v>21</v>
      </c>
      <c r="C316" t="s">
        <v>15</v>
      </c>
      <c r="D316" t="s">
        <v>7</v>
      </c>
    </row>
    <row r="317" spans="1:4" x14ac:dyDescent="0.3">
      <c r="A317" t="s">
        <v>48</v>
      </c>
      <c r="B317" t="s">
        <v>21</v>
      </c>
      <c r="C317" t="s">
        <v>16</v>
      </c>
      <c r="D317" t="s">
        <v>7</v>
      </c>
    </row>
    <row r="318" spans="1:4" x14ac:dyDescent="0.3">
      <c r="A318" t="s">
        <v>48</v>
      </c>
      <c r="B318" t="s">
        <v>21</v>
      </c>
      <c r="C318" t="s">
        <v>17</v>
      </c>
      <c r="D318" t="s">
        <v>7</v>
      </c>
    </row>
    <row r="319" spans="1:4" x14ac:dyDescent="0.3">
      <c r="A319" t="s">
        <v>48</v>
      </c>
      <c r="B319" t="s">
        <v>21</v>
      </c>
      <c r="C319" t="s">
        <v>18</v>
      </c>
      <c r="D319" t="s">
        <v>13</v>
      </c>
    </row>
    <row r="320" spans="1:4" x14ac:dyDescent="0.3">
      <c r="A320" t="s">
        <v>48</v>
      </c>
      <c r="B320" t="s">
        <v>21</v>
      </c>
      <c r="C320" t="s">
        <v>19</v>
      </c>
      <c r="D320" t="s">
        <v>7</v>
      </c>
    </row>
    <row r="321" spans="1:4" x14ac:dyDescent="0.3">
      <c r="A321" t="s">
        <v>49</v>
      </c>
      <c r="B321" t="s">
        <v>21</v>
      </c>
      <c r="C321" t="s">
        <v>6</v>
      </c>
      <c r="D321" t="s">
        <v>13</v>
      </c>
    </row>
    <row r="322" spans="1:4" x14ac:dyDescent="0.3">
      <c r="A322" t="s">
        <v>49</v>
      </c>
      <c r="B322" t="s">
        <v>21</v>
      </c>
      <c r="C322" t="s">
        <v>8</v>
      </c>
      <c r="D322" t="s">
        <v>7</v>
      </c>
    </row>
    <row r="323" spans="1:4" x14ac:dyDescent="0.3">
      <c r="A323" t="s">
        <v>49</v>
      </c>
      <c r="B323" t="s">
        <v>21</v>
      </c>
      <c r="C323" t="s">
        <v>9</v>
      </c>
      <c r="D323" t="s">
        <v>7</v>
      </c>
    </row>
    <row r="324" spans="1:4" x14ac:dyDescent="0.3">
      <c r="A324" t="s">
        <v>49</v>
      </c>
      <c r="B324" t="s">
        <v>21</v>
      </c>
      <c r="C324" t="s">
        <v>10</v>
      </c>
      <c r="D324" t="s">
        <v>13</v>
      </c>
    </row>
    <row r="325" spans="1:4" x14ac:dyDescent="0.3">
      <c r="A325" t="s">
        <v>49</v>
      </c>
      <c r="B325" t="s">
        <v>21</v>
      </c>
      <c r="C325" t="s">
        <v>12</v>
      </c>
      <c r="D325" t="s">
        <v>13</v>
      </c>
    </row>
    <row r="326" spans="1:4" x14ac:dyDescent="0.3">
      <c r="A326" t="s">
        <v>49</v>
      </c>
      <c r="B326" t="s">
        <v>21</v>
      </c>
      <c r="C326" t="s">
        <v>14</v>
      </c>
      <c r="D326" t="s">
        <v>7</v>
      </c>
    </row>
    <row r="327" spans="1:4" x14ac:dyDescent="0.3">
      <c r="A327" t="s">
        <v>49</v>
      </c>
      <c r="B327" t="s">
        <v>21</v>
      </c>
      <c r="C327" t="s">
        <v>15</v>
      </c>
      <c r="D327" t="s">
        <v>7</v>
      </c>
    </row>
    <row r="328" spans="1:4" x14ac:dyDescent="0.3">
      <c r="A328" t="s">
        <v>49</v>
      </c>
      <c r="B328" t="s">
        <v>21</v>
      </c>
      <c r="C328" t="s">
        <v>16</v>
      </c>
      <c r="D328" t="s">
        <v>7</v>
      </c>
    </row>
    <row r="329" spans="1:4" x14ac:dyDescent="0.3">
      <c r="A329" t="s">
        <v>49</v>
      </c>
      <c r="B329" t="s">
        <v>21</v>
      </c>
      <c r="C329" t="s">
        <v>17</v>
      </c>
      <c r="D329" t="s">
        <v>7</v>
      </c>
    </row>
    <row r="330" spans="1:4" x14ac:dyDescent="0.3">
      <c r="A330" t="s">
        <v>49</v>
      </c>
      <c r="B330" t="s">
        <v>21</v>
      </c>
      <c r="C330" t="s">
        <v>18</v>
      </c>
      <c r="D330" t="s">
        <v>7</v>
      </c>
    </row>
    <row r="331" spans="1:4" x14ac:dyDescent="0.3">
      <c r="A331" t="s">
        <v>49</v>
      </c>
      <c r="B331" t="s">
        <v>21</v>
      </c>
      <c r="C331" t="s">
        <v>19</v>
      </c>
      <c r="D331" t="s">
        <v>7</v>
      </c>
    </row>
    <row r="332" spans="1:4" x14ac:dyDescent="0.3">
      <c r="A332" t="s">
        <v>50</v>
      </c>
      <c r="B332" t="s">
        <v>21</v>
      </c>
      <c r="C332" t="s">
        <v>6</v>
      </c>
      <c r="D332" t="s">
        <v>7</v>
      </c>
    </row>
    <row r="333" spans="1:4" x14ac:dyDescent="0.3">
      <c r="A333" t="s">
        <v>50</v>
      </c>
      <c r="B333" t="s">
        <v>21</v>
      </c>
      <c r="C333" t="s">
        <v>8</v>
      </c>
      <c r="D333" t="s">
        <v>7</v>
      </c>
    </row>
    <row r="334" spans="1:4" x14ac:dyDescent="0.3">
      <c r="A334" t="s">
        <v>50</v>
      </c>
      <c r="B334" t="s">
        <v>21</v>
      </c>
      <c r="C334" t="s">
        <v>9</v>
      </c>
      <c r="D334" t="s">
        <v>7</v>
      </c>
    </row>
    <row r="335" spans="1:4" x14ac:dyDescent="0.3">
      <c r="A335" t="s">
        <v>50</v>
      </c>
      <c r="B335" t="s">
        <v>21</v>
      </c>
      <c r="C335" t="s">
        <v>10</v>
      </c>
      <c r="D335" t="s">
        <v>7</v>
      </c>
    </row>
    <row r="336" spans="1:4" x14ac:dyDescent="0.3">
      <c r="A336" t="s">
        <v>50</v>
      </c>
      <c r="B336" t="s">
        <v>21</v>
      </c>
      <c r="C336" t="s">
        <v>12</v>
      </c>
      <c r="D336" t="s">
        <v>7</v>
      </c>
    </row>
    <row r="337" spans="1:4" x14ac:dyDescent="0.3">
      <c r="A337" t="s">
        <v>50</v>
      </c>
      <c r="B337" t="s">
        <v>21</v>
      </c>
      <c r="C337" t="s">
        <v>14</v>
      </c>
      <c r="D337" t="s">
        <v>7</v>
      </c>
    </row>
    <row r="338" spans="1:4" x14ac:dyDescent="0.3">
      <c r="A338" t="s">
        <v>50</v>
      </c>
      <c r="B338" t="s">
        <v>21</v>
      </c>
      <c r="C338" t="s">
        <v>15</v>
      </c>
      <c r="D338" t="s">
        <v>7</v>
      </c>
    </row>
    <row r="339" spans="1:4" x14ac:dyDescent="0.3">
      <c r="A339" t="s">
        <v>50</v>
      </c>
      <c r="B339" t="s">
        <v>21</v>
      </c>
      <c r="C339" t="s">
        <v>16</v>
      </c>
      <c r="D339" t="s">
        <v>7</v>
      </c>
    </row>
    <row r="340" spans="1:4" x14ac:dyDescent="0.3">
      <c r="A340" t="s">
        <v>50</v>
      </c>
      <c r="B340" t="s">
        <v>21</v>
      </c>
      <c r="C340" t="s">
        <v>17</v>
      </c>
      <c r="D340" t="s">
        <v>7</v>
      </c>
    </row>
    <row r="341" spans="1:4" x14ac:dyDescent="0.3">
      <c r="A341" t="s">
        <v>50</v>
      </c>
      <c r="B341" t="s">
        <v>21</v>
      </c>
      <c r="C341" t="s">
        <v>18</v>
      </c>
      <c r="D341" t="s">
        <v>13</v>
      </c>
    </row>
    <row r="342" spans="1:4" x14ac:dyDescent="0.3">
      <c r="A342" t="s">
        <v>50</v>
      </c>
      <c r="B342" t="s">
        <v>21</v>
      </c>
      <c r="C342" t="s">
        <v>19</v>
      </c>
      <c r="D342" t="s">
        <v>7</v>
      </c>
    </row>
    <row r="343" spans="1:4" x14ac:dyDescent="0.3">
      <c r="A343" t="s">
        <v>51</v>
      </c>
      <c r="B343" t="s">
        <v>21</v>
      </c>
      <c r="C343" t="s">
        <v>6</v>
      </c>
      <c r="D343" t="s">
        <v>7</v>
      </c>
    </row>
    <row r="344" spans="1:4" x14ac:dyDescent="0.3">
      <c r="A344" t="s">
        <v>51</v>
      </c>
      <c r="B344" t="s">
        <v>21</v>
      </c>
      <c r="C344" t="s">
        <v>8</v>
      </c>
      <c r="D344" t="s">
        <v>7</v>
      </c>
    </row>
    <row r="345" spans="1:4" x14ac:dyDescent="0.3">
      <c r="A345" t="s">
        <v>51</v>
      </c>
      <c r="B345" t="s">
        <v>21</v>
      </c>
      <c r="C345" t="s">
        <v>9</v>
      </c>
      <c r="D345" t="s">
        <v>7</v>
      </c>
    </row>
    <row r="346" spans="1:4" x14ac:dyDescent="0.3">
      <c r="A346" t="s">
        <v>51</v>
      </c>
      <c r="B346" t="s">
        <v>21</v>
      </c>
      <c r="C346" t="s">
        <v>10</v>
      </c>
      <c r="D346" t="s">
        <v>13</v>
      </c>
    </row>
    <row r="347" spans="1:4" x14ac:dyDescent="0.3">
      <c r="A347" t="s">
        <v>51</v>
      </c>
      <c r="B347" t="s">
        <v>21</v>
      </c>
      <c r="C347" t="s">
        <v>12</v>
      </c>
      <c r="D347" t="s">
        <v>11</v>
      </c>
    </row>
    <row r="348" spans="1:4" x14ac:dyDescent="0.3">
      <c r="A348" t="s">
        <v>51</v>
      </c>
      <c r="B348" t="s">
        <v>21</v>
      </c>
      <c r="C348" t="s">
        <v>14</v>
      </c>
      <c r="D348" t="s">
        <v>7</v>
      </c>
    </row>
    <row r="349" spans="1:4" x14ac:dyDescent="0.3">
      <c r="A349" t="s">
        <v>51</v>
      </c>
      <c r="B349" t="s">
        <v>21</v>
      </c>
      <c r="C349" t="s">
        <v>15</v>
      </c>
      <c r="D349" t="s">
        <v>7</v>
      </c>
    </row>
    <row r="350" spans="1:4" x14ac:dyDescent="0.3">
      <c r="A350" t="s">
        <v>51</v>
      </c>
      <c r="B350" t="s">
        <v>21</v>
      </c>
      <c r="C350" t="s">
        <v>16</v>
      </c>
      <c r="D350" t="s">
        <v>7</v>
      </c>
    </row>
    <row r="351" spans="1:4" x14ac:dyDescent="0.3">
      <c r="A351" t="s">
        <v>51</v>
      </c>
      <c r="B351" t="s">
        <v>21</v>
      </c>
      <c r="C351" t="s">
        <v>17</v>
      </c>
      <c r="D351" t="s">
        <v>7</v>
      </c>
    </row>
    <row r="352" spans="1:4" x14ac:dyDescent="0.3">
      <c r="A352" t="s">
        <v>51</v>
      </c>
      <c r="B352" t="s">
        <v>21</v>
      </c>
      <c r="C352" t="s">
        <v>18</v>
      </c>
      <c r="D352" t="s">
        <v>13</v>
      </c>
    </row>
    <row r="353" spans="1:4" x14ac:dyDescent="0.3">
      <c r="A353" t="s">
        <v>51</v>
      </c>
      <c r="B353" t="s">
        <v>21</v>
      </c>
      <c r="C353" t="s">
        <v>19</v>
      </c>
      <c r="D353" t="s">
        <v>7</v>
      </c>
    </row>
    <row r="354" spans="1:4" x14ac:dyDescent="0.3">
      <c r="A354" t="s">
        <v>52</v>
      </c>
      <c r="B354" t="s">
        <v>21</v>
      </c>
      <c r="C354" t="s">
        <v>6</v>
      </c>
      <c r="D354" t="s">
        <v>7</v>
      </c>
    </row>
    <row r="355" spans="1:4" x14ac:dyDescent="0.3">
      <c r="A355" t="s">
        <v>52</v>
      </c>
      <c r="B355" t="s">
        <v>21</v>
      </c>
      <c r="C355" t="s">
        <v>8</v>
      </c>
      <c r="D355" t="s">
        <v>7</v>
      </c>
    </row>
    <row r="356" spans="1:4" x14ac:dyDescent="0.3">
      <c r="A356" t="s">
        <v>52</v>
      </c>
      <c r="B356" t="s">
        <v>21</v>
      </c>
      <c r="C356" t="s">
        <v>9</v>
      </c>
      <c r="D356" t="s">
        <v>7</v>
      </c>
    </row>
    <row r="357" spans="1:4" x14ac:dyDescent="0.3">
      <c r="A357" t="s">
        <v>52</v>
      </c>
      <c r="B357" t="s">
        <v>21</v>
      </c>
      <c r="C357" t="s">
        <v>10</v>
      </c>
      <c r="D357" t="s">
        <v>13</v>
      </c>
    </row>
    <row r="358" spans="1:4" x14ac:dyDescent="0.3">
      <c r="A358" t="s">
        <v>52</v>
      </c>
      <c r="B358" t="s">
        <v>21</v>
      </c>
      <c r="C358" t="s">
        <v>12</v>
      </c>
      <c r="D358" t="s">
        <v>53</v>
      </c>
    </row>
    <row r="359" spans="1:4" x14ac:dyDescent="0.3">
      <c r="A359" t="s">
        <v>52</v>
      </c>
      <c r="B359" t="s">
        <v>21</v>
      </c>
      <c r="C359" t="s">
        <v>14</v>
      </c>
      <c r="D359" t="s">
        <v>7</v>
      </c>
    </row>
    <row r="360" spans="1:4" x14ac:dyDescent="0.3">
      <c r="A360" t="s">
        <v>52</v>
      </c>
      <c r="B360" t="s">
        <v>21</v>
      </c>
      <c r="C360" t="s">
        <v>15</v>
      </c>
      <c r="D360" t="s">
        <v>13</v>
      </c>
    </row>
    <row r="361" spans="1:4" x14ac:dyDescent="0.3">
      <c r="A361" t="s">
        <v>52</v>
      </c>
      <c r="B361" t="s">
        <v>21</v>
      </c>
      <c r="C361" t="s">
        <v>16</v>
      </c>
      <c r="D361" t="s">
        <v>7</v>
      </c>
    </row>
    <row r="362" spans="1:4" x14ac:dyDescent="0.3">
      <c r="A362" t="s">
        <v>52</v>
      </c>
      <c r="B362" t="s">
        <v>21</v>
      </c>
      <c r="C362" t="s">
        <v>17</v>
      </c>
      <c r="D362" t="s">
        <v>7</v>
      </c>
    </row>
    <row r="363" spans="1:4" x14ac:dyDescent="0.3">
      <c r="A363" t="s">
        <v>52</v>
      </c>
      <c r="B363" t="s">
        <v>21</v>
      </c>
      <c r="C363" t="s">
        <v>18</v>
      </c>
      <c r="D363" t="s">
        <v>53</v>
      </c>
    </row>
    <row r="364" spans="1:4" x14ac:dyDescent="0.3">
      <c r="A364" t="s">
        <v>52</v>
      </c>
      <c r="B364" t="s">
        <v>21</v>
      </c>
      <c r="C364" t="s">
        <v>19</v>
      </c>
      <c r="D364" t="s">
        <v>7</v>
      </c>
    </row>
    <row r="365" spans="1:4" x14ac:dyDescent="0.3">
      <c r="A365" t="s">
        <v>54</v>
      </c>
      <c r="B365" t="s">
        <v>21</v>
      </c>
      <c r="C365" t="s">
        <v>6</v>
      </c>
      <c r="D365" t="s">
        <v>13</v>
      </c>
    </row>
    <row r="366" spans="1:4" x14ac:dyDescent="0.3">
      <c r="A366" t="s">
        <v>54</v>
      </c>
      <c r="B366" t="s">
        <v>21</v>
      </c>
      <c r="C366" t="s">
        <v>8</v>
      </c>
      <c r="D366" t="s">
        <v>7</v>
      </c>
    </row>
    <row r="367" spans="1:4" x14ac:dyDescent="0.3">
      <c r="A367" t="s">
        <v>54</v>
      </c>
      <c r="B367" t="s">
        <v>21</v>
      </c>
      <c r="C367" t="s">
        <v>9</v>
      </c>
      <c r="D367" t="s">
        <v>7</v>
      </c>
    </row>
    <row r="368" spans="1:4" x14ac:dyDescent="0.3">
      <c r="A368" t="s">
        <v>54</v>
      </c>
      <c r="B368" t="s">
        <v>21</v>
      </c>
      <c r="C368" t="s">
        <v>10</v>
      </c>
      <c r="D368" t="s">
        <v>13</v>
      </c>
    </row>
    <row r="369" spans="1:4" x14ac:dyDescent="0.3">
      <c r="A369" t="s">
        <v>54</v>
      </c>
      <c r="B369" t="s">
        <v>21</v>
      </c>
      <c r="C369" t="s">
        <v>12</v>
      </c>
      <c r="D369" t="s">
        <v>7</v>
      </c>
    </row>
    <row r="370" spans="1:4" x14ac:dyDescent="0.3">
      <c r="A370" t="s">
        <v>54</v>
      </c>
      <c r="B370" t="s">
        <v>21</v>
      </c>
      <c r="C370" t="s">
        <v>14</v>
      </c>
      <c r="D370" t="s">
        <v>7</v>
      </c>
    </row>
    <row r="371" spans="1:4" x14ac:dyDescent="0.3">
      <c r="A371" t="s">
        <v>54</v>
      </c>
      <c r="B371" t="s">
        <v>21</v>
      </c>
      <c r="C371" t="s">
        <v>15</v>
      </c>
      <c r="D371" t="s">
        <v>7</v>
      </c>
    </row>
    <row r="372" spans="1:4" x14ac:dyDescent="0.3">
      <c r="A372" t="s">
        <v>54</v>
      </c>
      <c r="B372" t="s">
        <v>21</v>
      </c>
      <c r="C372" t="s">
        <v>16</v>
      </c>
      <c r="D372" t="s">
        <v>7</v>
      </c>
    </row>
    <row r="373" spans="1:4" x14ac:dyDescent="0.3">
      <c r="A373" t="s">
        <v>54</v>
      </c>
      <c r="B373" t="s">
        <v>21</v>
      </c>
      <c r="C373" t="s">
        <v>17</v>
      </c>
      <c r="D373" t="s">
        <v>7</v>
      </c>
    </row>
    <row r="374" spans="1:4" x14ac:dyDescent="0.3">
      <c r="A374" t="s">
        <v>54</v>
      </c>
      <c r="B374" t="s">
        <v>21</v>
      </c>
      <c r="C374" t="s">
        <v>18</v>
      </c>
      <c r="D374" t="s">
        <v>7</v>
      </c>
    </row>
    <row r="375" spans="1:4" x14ac:dyDescent="0.3">
      <c r="A375" t="s">
        <v>54</v>
      </c>
      <c r="B375" t="s">
        <v>21</v>
      </c>
      <c r="C375" t="s">
        <v>19</v>
      </c>
      <c r="D375" t="s">
        <v>7</v>
      </c>
    </row>
    <row r="376" spans="1:4" x14ac:dyDescent="0.3">
      <c r="A376" t="s">
        <v>55</v>
      </c>
      <c r="B376" t="s">
        <v>21</v>
      </c>
      <c r="C376" t="s">
        <v>6</v>
      </c>
      <c r="D376" t="s">
        <v>13</v>
      </c>
    </row>
    <row r="377" spans="1:4" x14ac:dyDescent="0.3">
      <c r="A377" t="s">
        <v>55</v>
      </c>
      <c r="B377" t="s">
        <v>21</v>
      </c>
      <c r="C377" t="s">
        <v>8</v>
      </c>
      <c r="D377" t="s">
        <v>7</v>
      </c>
    </row>
    <row r="378" spans="1:4" x14ac:dyDescent="0.3">
      <c r="A378" t="s">
        <v>55</v>
      </c>
      <c r="B378" t="s">
        <v>21</v>
      </c>
      <c r="C378" t="s">
        <v>9</v>
      </c>
      <c r="D378" t="s">
        <v>7</v>
      </c>
    </row>
    <row r="379" spans="1:4" x14ac:dyDescent="0.3">
      <c r="A379" t="s">
        <v>55</v>
      </c>
      <c r="B379" t="s">
        <v>21</v>
      </c>
      <c r="C379" t="s">
        <v>10</v>
      </c>
      <c r="D379" t="s">
        <v>7</v>
      </c>
    </row>
    <row r="380" spans="1:4" x14ac:dyDescent="0.3">
      <c r="A380" t="s">
        <v>55</v>
      </c>
      <c r="B380" t="s">
        <v>21</v>
      </c>
      <c r="C380" t="s">
        <v>12</v>
      </c>
      <c r="D380" t="s">
        <v>7</v>
      </c>
    </row>
    <row r="381" spans="1:4" x14ac:dyDescent="0.3">
      <c r="A381" t="s">
        <v>55</v>
      </c>
      <c r="B381" t="s">
        <v>21</v>
      </c>
      <c r="C381" t="s">
        <v>14</v>
      </c>
      <c r="D381" t="s">
        <v>7</v>
      </c>
    </row>
    <row r="382" spans="1:4" x14ac:dyDescent="0.3">
      <c r="A382" t="s">
        <v>55</v>
      </c>
      <c r="B382" t="s">
        <v>21</v>
      </c>
      <c r="C382" t="s">
        <v>15</v>
      </c>
      <c r="D382" t="s">
        <v>7</v>
      </c>
    </row>
    <row r="383" spans="1:4" x14ac:dyDescent="0.3">
      <c r="A383" t="s">
        <v>55</v>
      </c>
      <c r="B383" t="s">
        <v>21</v>
      </c>
      <c r="C383" t="s">
        <v>16</v>
      </c>
      <c r="D383" t="s">
        <v>7</v>
      </c>
    </row>
    <row r="384" spans="1:4" x14ac:dyDescent="0.3">
      <c r="A384" t="s">
        <v>55</v>
      </c>
      <c r="B384" t="s">
        <v>21</v>
      </c>
      <c r="C384" t="s">
        <v>17</v>
      </c>
      <c r="D384" t="s">
        <v>7</v>
      </c>
    </row>
    <row r="385" spans="1:4" x14ac:dyDescent="0.3">
      <c r="A385" t="s">
        <v>55</v>
      </c>
      <c r="B385" t="s">
        <v>21</v>
      </c>
      <c r="C385" t="s">
        <v>18</v>
      </c>
      <c r="D385" t="s">
        <v>7</v>
      </c>
    </row>
    <row r="386" spans="1:4" x14ac:dyDescent="0.3">
      <c r="A386" t="s">
        <v>55</v>
      </c>
      <c r="B386" t="s">
        <v>21</v>
      </c>
      <c r="C386" t="s">
        <v>19</v>
      </c>
      <c r="D386" t="s">
        <v>7</v>
      </c>
    </row>
    <row r="387" spans="1:4" x14ac:dyDescent="0.3">
      <c r="A387" s="148" t="s">
        <v>56</v>
      </c>
      <c r="B387" t="s">
        <v>21</v>
      </c>
      <c r="C387" t="s">
        <v>6</v>
      </c>
      <c r="D387" t="s">
        <v>13</v>
      </c>
    </row>
    <row r="388" spans="1:4" x14ac:dyDescent="0.3">
      <c r="A388" s="148" t="s">
        <v>56</v>
      </c>
      <c r="B388" t="s">
        <v>21</v>
      </c>
      <c r="C388" t="s">
        <v>8</v>
      </c>
      <c r="D388" t="s">
        <v>7</v>
      </c>
    </row>
    <row r="389" spans="1:4" x14ac:dyDescent="0.3">
      <c r="A389" s="148" t="s">
        <v>56</v>
      </c>
      <c r="B389" t="s">
        <v>21</v>
      </c>
      <c r="C389" t="s">
        <v>9</v>
      </c>
      <c r="D389" t="s">
        <v>7</v>
      </c>
    </row>
    <row r="390" spans="1:4" x14ac:dyDescent="0.3">
      <c r="A390" s="148" t="s">
        <v>56</v>
      </c>
      <c r="B390" t="s">
        <v>21</v>
      </c>
      <c r="C390" t="s">
        <v>10</v>
      </c>
      <c r="D390" t="s">
        <v>13</v>
      </c>
    </row>
    <row r="391" spans="1:4" x14ac:dyDescent="0.3">
      <c r="A391" s="148" t="s">
        <v>56</v>
      </c>
      <c r="B391" t="s">
        <v>21</v>
      </c>
      <c r="C391" t="s">
        <v>12</v>
      </c>
      <c r="D391" t="s">
        <v>7</v>
      </c>
    </row>
    <row r="392" spans="1:4" x14ac:dyDescent="0.3">
      <c r="A392" s="148" t="s">
        <v>56</v>
      </c>
      <c r="B392" t="s">
        <v>21</v>
      </c>
      <c r="C392" t="s">
        <v>14</v>
      </c>
      <c r="D392" t="s">
        <v>7</v>
      </c>
    </row>
    <row r="393" spans="1:4" x14ac:dyDescent="0.3">
      <c r="A393" s="148" t="s">
        <v>56</v>
      </c>
      <c r="B393" t="s">
        <v>21</v>
      </c>
      <c r="C393" t="s">
        <v>15</v>
      </c>
      <c r="D393" t="s">
        <v>7</v>
      </c>
    </row>
    <row r="394" spans="1:4" x14ac:dyDescent="0.3">
      <c r="A394" s="148" t="s">
        <v>56</v>
      </c>
      <c r="B394" t="s">
        <v>21</v>
      </c>
      <c r="C394" t="s">
        <v>16</v>
      </c>
      <c r="D394" t="s">
        <v>7</v>
      </c>
    </row>
    <row r="395" spans="1:4" x14ac:dyDescent="0.3">
      <c r="A395" s="148" t="s">
        <v>56</v>
      </c>
      <c r="B395" t="s">
        <v>21</v>
      </c>
      <c r="C395" t="s">
        <v>17</v>
      </c>
      <c r="D395" t="s">
        <v>7</v>
      </c>
    </row>
    <row r="396" spans="1:4" x14ac:dyDescent="0.3">
      <c r="A396" s="148" t="s">
        <v>56</v>
      </c>
      <c r="B396" t="s">
        <v>21</v>
      </c>
      <c r="C396" t="s">
        <v>18</v>
      </c>
      <c r="D396" t="s">
        <v>7</v>
      </c>
    </row>
    <row r="397" spans="1:4" x14ac:dyDescent="0.3">
      <c r="A397" s="148" t="s">
        <v>56</v>
      </c>
      <c r="B397" t="s">
        <v>21</v>
      </c>
      <c r="C397" t="s">
        <v>19</v>
      </c>
      <c r="D397" t="s">
        <v>7</v>
      </c>
    </row>
    <row r="398" spans="1:4" x14ac:dyDescent="0.3">
      <c r="A398" t="s">
        <v>57</v>
      </c>
      <c r="B398" t="s">
        <v>21</v>
      </c>
      <c r="C398" t="s">
        <v>6</v>
      </c>
      <c r="D398" t="s">
        <v>7</v>
      </c>
    </row>
    <row r="399" spans="1:4" x14ac:dyDescent="0.3">
      <c r="A399" t="s">
        <v>57</v>
      </c>
      <c r="B399" t="s">
        <v>21</v>
      </c>
      <c r="C399" t="s">
        <v>8</v>
      </c>
      <c r="D399" t="s">
        <v>7</v>
      </c>
    </row>
    <row r="400" spans="1:4" x14ac:dyDescent="0.3">
      <c r="A400" t="s">
        <v>57</v>
      </c>
      <c r="B400" t="s">
        <v>21</v>
      </c>
      <c r="C400" t="s">
        <v>9</v>
      </c>
      <c r="D400" t="s">
        <v>7</v>
      </c>
    </row>
    <row r="401" spans="1:4" x14ac:dyDescent="0.3">
      <c r="A401" t="s">
        <v>57</v>
      </c>
      <c r="B401" t="s">
        <v>21</v>
      </c>
      <c r="C401" t="s">
        <v>10</v>
      </c>
      <c r="D401" t="s">
        <v>13</v>
      </c>
    </row>
    <row r="402" spans="1:4" x14ac:dyDescent="0.3">
      <c r="A402" t="s">
        <v>57</v>
      </c>
      <c r="B402" t="s">
        <v>21</v>
      </c>
      <c r="C402" t="s">
        <v>12</v>
      </c>
      <c r="D402" t="s">
        <v>7</v>
      </c>
    </row>
    <row r="403" spans="1:4" x14ac:dyDescent="0.3">
      <c r="A403" t="s">
        <v>57</v>
      </c>
      <c r="B403" t="s">
        <v>21</v>
      </c>
      <c r="C403" t="s">
        <v>14</v>
      </c>
      <c r="D403" t="s">
        <v>7</v>
      </c>
    </row>
    <row r="404" spans="1:4" x14ac:dyDescent="0.3">
      <c r="A404" t="s">
        <v>57</v>
      </c>
      <c r="B404" t="s">
        <v>21</v>
      </c>
      <c r="C404" t="s">
        <v>15</v>
      </c>
      <c r="D404" t="s">
        <v>7</v>
      </c>
    </row>
    <row r="405" spans="1:4" x14ac:dyDescent="0.3">
      <c r="A405" t="s">
        <v>57</v>
      </c>
      <c r="B405" t="s">
        <v>21</v>
      </c>
      <c r="C405" t="s">
        <v>16</v>
      </c>
      <c r="D405" t="s">
        <v>7</v>
      </c>
    </row>
    <row r="406" spans="1:4" x14ac:dyDescent="0.3">
      <c r="A406" t="s">
        <v>57</v>
      </c>
      <c r="B406" t="s">
        <v>21</v>
      </c>
      <c r="C406" t="s">
        <v>17</v>
      </c>
      <c r="D406" t="s">
        <v>7</v>
      </c>
    </row>
    <row r="407" spans="1:4" x14ac:dyDescent="0.3">
      <c r="A407" t="s">
        <v>57</v>
      </c>
      <c r="B407" t="s">
        <v>21</v>
      </c>
      <c r="C407" t="s">
        <v>18</v>
      </c>
      <c r="D407" t="s">
        <v>53</v>
      </c>
    </row>
    <row r="408" spans="1:4" x14ac:dyDescent="0.3">
      <c r="A408" t="s">
        <v>57</v>
      </c>
      <c r="B408" t="s">
        <v>21</v>
      </c>
      <c r="C408" t="s">
        <v>19</v>
      </c>
      <c r="D408" t="s">
        <v>7</v>
      </c>
    </row>
    <row r="409" spans="1:4" x14ac:dyDescent="0.3">
      <c r="A409" t="s">
        <v>58</v>
      </c>
      <c r="B409" t="s">
        <v>21</v>
      </c>
      <c r="C409" t="s">
        <v>6</v>
      </c>
      <c r="D409" t="s">
        <v>7</v>
      </c>
    </row>
    <row r="410" spans="1:4" x14ac:dyDescent="0.3">
      <c r="A410" t="s">
        <v>58</v>
      </c>
      <c r="B410" t="s">
        <v>21</v>
      </c>
      <c r="C410" t="s">
        <v>8</v>
      </c>
      <c r="D410" t="s">
        <v>7</v>
      </c>
    </row>
    <row r="411" spans="1:4" x14ac:dyDescent="0.3">
      <c r="A411" t="s">
        <v>58</v>
      </c>
      <c r="B411" t="s">
        <v>21</v>
      </c>
      <c r="C411" t="s">
        <v>9</v>
      </c>
      <c r="D411" t="s">
        <v>7</v>
      </c>
    </row>
    <row r="412" spans="1:4" x14ac:dyDescent="0.3">
      <c r="A412" t="s">
        <v>58</v>
      </c>
      <c r="B412" t="s">
        <v>21</v>
      </c>
      <c r="C412" t="s">
        <v>10</v>
      </c>
      <c r="D412" t="s">
        <v>13</v>
      </c>
    </row>
    <row r="413" spans="1:4" x14ac:dyDescent="0.3">
      <c r="A413" t="s">
        <v>58</v>
      </c>
      <c r="B413" t="s">
        <v>21</v>
      </c>
      <c r="C413" t="s">
        <v>12</v>
      </c>
      <c r="D413" t="s">
        <v>13</v>
      </c>
    </row>
    <row r="414" spans="1:4" x14ac:dyDescent="0.3">
      <c r="A414" t="s">
        <v>58</v>
      </c>
      <c r="B414" t="s">
        <v>21</v>
      </c>
      <c r="C414" t="s">
        <v>14</v>
      </c>
      <c r="D414" t="s">
        <v>7</v>
      </c>
    </row>
    <row r="415" spans="1:4" x14ac:dyDescent="0.3">
      <c r="A415" t="s">
        <v>58</v>
      </c>
      <c r="B415" t="s">
        <v>21</v>
      </c>
      <c r="C415" t="s">
        <v>15</v>
      </c>
      <c r="D415" t="s">
        <v>7</v>
      </c>
    </row>
    <row r="416" spans="1:4" x14ac:dyDescent="0.3">
      <c r="A416" t="s">
        <v>58</v>
      </c>
      <c r="B416" t="s">
        <v>21</v>
      </c>
      <c r="C416" t="s">
        <v>16</v>
      </c>
      <c r="D416" t="s">
        <v>7</v>
      </c>
    </row>
    <row r="417" spans="1:4" x14ac:dyDescent="0.3">
      <c r="A417" t="s">
        <v>58</v>
      </c>
      <c r="B417" t="s">
        <v>21</v>
      </c>
      <c r="C417" t="s">
        <v>17</v>
      </c>
      <c r="D417" t="s">
        <v>7</v>
      </c>
    </row>
    <row r="418" spans="1:4" x14ac:dyDescent="0.3">
      <c r="A418" t="s">
        <v>58</v>
      </c>
      <c r="B418" t="s">
        <v>21</v>
      </c>
      <c r="C418" t="s">
        <v>18</v>
      </c>
      <c r="D418" t="s">
        <v>7</v>
      </c>
    </row>
    <row r="419" spans="1:4" x14ac:dyDescent="0.3">
      <c r="A419" t="s">
        <v>58</v>
      </c>
      <c r="B419" t="s">
        <v>21</v>
      </c>
      <c r="C419" t="s">
        <v>19</v>
      </c>
      <c r="D419" t="s">
        <v>7</v>
      </c>
    </row>
    <row r="420" spans="1:4" x14ac:dyDescent="0.3">
      <c r="A420" t="s">
        <v>59</v>
      </c>
      <c r="B420" t="s">
        <v>21</v>
      </c>
      <c r="C420" t="s">
        <v>6</v>
      </c>
      <c r="D420" t="s">
        <v>13</v>
      </c>
    </row>
    <row r="421" spans="1:4" x14ac:dyDescent="0.3">
      <c r="A421" t="s">
        <v>59</v>
      </c>
      <c r="B421" t="s">
        <v>21</v>
      </c>
      <c r="C421" t="s">
        <v>8</v>
      </c>
      <c r="D421" t="s">
        <v>7</v>
      </c>
    </row>
    <row r="422" spans="1:4" x14ac:dyDescent="0.3">
      <c r="A422" t="s">
        <v>59</v>
      </c>
      <c r="B422" t="s">
        <v>21</v>
      </c>
      <c r="C422" t="s">
        <v>9</v>
      </c>
      <c r="D422" t="s">
        <v>7</v>
      </c>
    </row>
    <row r="423" spans="1:4" x14ac:dyDescent="0.3">
      <c r="A423" t="s">
        <v>59</v>
      </c>
      <c r="B423" t="s">
        <v>21</v>
      </c>
      <c r="C423" t="s">
        <v>10</v>
      </c>
      <c r="D423" t="s">
        <v>13</v>
      </c>
    </row>
    <row r="424" spans="1:4" x14ac:dyDescent="0.3">
      <c r="A424" t="s">
        <v>59</v>
      </c>
      <c r="B424" t="s">
        <v>21</v>
      </c>
      <c r="C424" t="s">
        <v>12</v>
      </c>
      <c r="D424" t="s">
        <v>13</v>
      </c>
    </row>
    <row r="425" spans="1:4" x14ac:dyDescent="0.3">
      <c r="A425" t="s">
        <v>59</v>
      </c>
      <c r="B425" t="s">
        <v>21</v>
      </c>
      <c r="C425" t="s">
        <v>14</v>
      </c>
      <c r="D425" t="s">
        <v>7</v>
      </c>
    </row>
    <row r="426" spans="1:4" x14ac:dyDescent="0.3">
      <c r="A426" t="s">
        <v>59</v>
      </c>
      <c r="B426" t="s">
        <v>21</v>
      </c>
      <c r="C426" t="s">
        <v>15</v>
      </c>
      <c r="D426" t="s">
        <v>7</v>
      </c>
    </row>
    <row r="427" spans="1:4" x14ac:dyDescent="0.3">
      <c r="A427" t="s">
        <v>59</v>
      </c>
      <c r="B427" t="s">
        <v>21</v>
      </c>
      <c r="C427" t="s">
        <v>16</v>
      </c>
      <c r="D427" t="s">
        <v>7</v>
      </c>
    </row>
    <row r="428" spans="1:4" x14ac:dyDescent="0.3">
      <c r="A428" t="s">
        <v>59</v>
      </c>
      <c r="B428" t="s">
        <v>21</v>
      </c>
      <c r="C428" t="s">
        <v>17</v>
      </c>
      <c r="D428" t="s">
        <v>7</v>
      </c>
    </row>
    <row r="429" spans="1:4" x14ac:dyDescent="0.3">
      <c r="A429" t="s">
        <v>59</v>
      </c>
      <c r="B429" t="s">
        <v>21</v>
      </c>
      <c r="C429" t="s">
        <v>18</v>
      </c>
      <c r="D429" t="s">
        <v>13</v>
      </c>
    </row>
    <row r="430" spans="1:4" x14ac:dyDescent="0.3">
      <c r="A430" t="s">
        <v>59</v>
      </c>
      <c r="B430" t="s">
        <v>21</v>
      </c>
      <c r="C430" t="s">
        <v>19</v>
      </c>
      <c r="D430" t="s">
        <v>7</v>
      </c>
    </row>
    <row r="431" spans="1:4" x14ac:dyDescent="0.3">
      <c r="A431" t="s">
        <v>60</v>
      </c>
      <c r="B431" t="s">
        <v>21</v>
      </c>
      <c r="C431" t="s">
        <v>6</v>
      </c>
      <c r="D431" t="s">
        <v>13</v>
      </c>
    </row>
    <row r="432" spans="1:4" x14ac:dyDescent="0.3">
      <c r="A432" t="s">
        <v>60</v>
      </c>
      <c r="B432" t="s">
        <v>21</v>
      </c>
      <c r="C432" t="s">
        <v>8</v>
      </c>
      <c r="D432" t="s">
        <v>7</v>
      </c>
    </row>
    <row r="433" spans="1:4" x14ac:dyDescent="0.3">
      <c r="A433" t="s">
        <v>60</v>
      </c>
      <c r="B433" t="s">
        <v>21</v>
      </c>
      <c r="C433" t="s">
        <v>9</v>
      </c>
      <c r="D433" t="s">
        <v>7</v>
      </c>
    </row>
    <row r="434" spans="1:4" x14ac:dyDescent="0.3">
      <c r="A434" t="s">
        <v>60</v>
      </c>
      <c r="B434" t="s">
        <v>21</v>
      </c>
      <c r="C434" t="s">
        <v>10</v>
      </c>
      <c r="D434" t="s">
        <v>13</v>
      </c>
    </row>
    <row r="435" spans="1:4" x14ac:dyDescent="0.3">
      <c r="A435" t="s">
        <v>60</v>
      </c>
      <c r="B435" t="s">
        <v>21</v>
      </c>
      <c r="C435" t="s">
        <v>12</v>
      </c>
      <c r="D435" t="s">
        <v>7</v>
      </c>
    </row>
    <row r="436" spans="1:4" x14ac:dyDescent="0.3">
      <c r="A436" t="s">
        <v>60</v>
      </c>
      <c r="B436" t="s">
        <v>21</v>
      </c>
      <c r="C436" t="s">
        <v>14</v>
      </c>
      <c r="D436" t="s">
        <v>7</v>
      </c>
    </row>
    <row r="437" spans="1:4" x14ac:dyDescent="0.3">
      <c r="A437" t="s">
        <v>60</v>
      </c>
      <c r="B437" t="s">
        <v>21</v>
      </c>
      <c r="C437" t="s">
        <v>15</v>
      </c>
      <c r="D437" t="s">
        <v>13</v>
      </c>
    </row>
    <row r="438" spans="1:4" x14ac:dyDescent="0.3">
      <c r="A438" t="s">
        <v>60</v>
      </c>
      <c r="B438" t="s">
        <v>21</v>
      </c>
      <c r="C438" t="s">
        <v>16</v>
      </c>
      <c r="D438" t="s">
        <v>7</v>
      </c>
    </row>
    <row r="439" spans="1:4" x14ac:dyDescent="0.3">
      <c r="A439" t="s">
        <v>60</v>
      </c>
      <c r="B439" t="s">
        <v>21</v>
      </c>
      <c r="C439" t="s">
        <v>17</v>
      </c>
      <c r="D439" t="s">
        <v>7</v>
      </c>
    </row>
    <row r="440" spans="1:4" x14ac:dyDescent="0.3">
      <c r="A440" t="s">
        <v>60</v>
      </c>
      <c r="B440" t="s">
        <v>21</v>
      </c>
      <c r="C440" t="s">
        <v>18</v>
      </c>
      <c r="D440" t="s">
        <v>7</v>
      </c>
    </row>
    <row r="441" spans="1:4" x14ac:dyDescent="0.3">
      <c r="A441" t="s">
        <v>60</v>
      </c>
      <c r="B441" t="s">
        <v>21</v>
      </c>
      <c r="C441" t="s">
        <v>19</v>
      </c>
      <c r="D441" t="s">
        <v>7</v>
      </c>
    </row>
    <row r="442" spans="1:4" x14ac:dyDescent="0.3">
      <c r="A442" t="s">
        <v>61</v>
      </c>
      <c r="B442" t="s">
        <v>21</v>
      </c>
      <c r="C442" t="s">
        <v>6</v>
      </c>
      <c r="D442" t="s">
        <v>7</v>
      </c>
    </row>
    <row r="443" spans="1:4" x14ac:dyDescent="0.3">
      <c r="A443" t="s">
        <v>61</v>
      </c>
      <c r="B443" t="s">
        <v>21</v>
      </c>
      <c r="C443" t="s">
        <v>8</v>
      </c>
      <c r="D443" t="s">
        <v>7</v>
      </c>
    </row>
    <row r="444" spans="1:4" x14ac:dyDescent="0.3">
      <c r="A444" t="s">
        <v>61</v>
      </c>
      <c r="B444" t="s">
        <v>21</v>
      </c>
      <c r="C444" t="s">
        <v>9</v>
      </c>
      <c r="D444" t="s">
        <v>7</v>
      </c>
    </row>
    <row r="445" spans="1:4" x14ac:dyDescent="0.3">
      <c r="A445" t="s">
        <v>61</v>
      </c>
      <c r="B445" t="s">
        <v>21</v>
      </c>
      <c r="C445" t="s">
        <v>10</v>
      </c>
      <c r="D445" t="s">
        <v>13</v>
      </c>
    </row>
    <row r="446" spans="1:4" x14ac:dyDescent="0.3">
      <c r="A446" t="s">
        <v>61</v>
      </c>
      <c r="B446" t="s">
        <v>21</v>
      </c>
      <c r="C446" t="s">
        <v>12</v>
      </c>
      <c r="D446" t="s">
        <v>7</v>
      </c>
    </row>
    <row r="447" spans="1:4" x14ac:dyDescent="0.3">
      <c r="A447" t="s">
        <v>61</v>
      </c>
      <c r="B447" t="s">
        <v>21</v>
      </c>
      <c r="C447" t="s">
        <v>14</v>
      </c>
      <c r="D447" t="s">
        <v>7</v>
      </c>
    </row>
    <row r="448" spans="1:4" x14ac:dyDescent="0.3">
      <c r="A448" t="s">
        <v>61</v>
      </c>
      <c r="B448" t="s">
        <v>21</v>
      </c>
      <c r="C448" t="s">
        <v>15</v>
      </c>
      <c r="D448" t="s">
        <v>13</v>
      </c>
    </row>
    <row r="449" spans="1:4" x14ac:dyDescent="0.3">
      <c r="A449" t="s">
        <v>61</v>
      </c>
      <c r="B449" t="s">
        <v>21</v>
      </c>
      <c r="C449" t="s">
        <v>16</v>
      </c>
      <c r="D449" t="s">
        <v>7</v>
      </c>
    </row>
    <row r="450" spans="1:4" x14ac:dyDescent="0.3">
      <c r="A450" t="s">
        <v>61</v>
      </c>
      <c r="B450" t="s">
        <v>21</v>
      </c>
      <c r="C450" t="s">
        <v>17</v>
      </c>
      <c r="D450" t="s">
        <v>7</v>
      </c>
    </row>
    <row r="451" spans="1:4" x14ac:dyDescent="0.3">
      <c r="A451" t="s">
        <v>61</v>
      </c>
      <c r="B451" t="s">
        <v>21</v>
      </c>
      <c r="C451" t="s">
        <v>18</v>
      </c>
      <c r="D451" t="s">
        <v>7</v>
      </c>
    </row>
    <row r="452" spans="1:4" x14ac:dyDescent="0.3">
      <c r="A452" t="s">
        <v>61</v>
      </c>
      <c r="B452" t="s">
        <v>21</v>
      </c>
      <c r="C452" t="s">
        <v>19</v>
      </c>
      <c r="D452" t="s">
        <v>7</v>
      </c>
    </row>
    <row r="453" spans="1:4" x14ac:dyDescent="0.3">
      <c r="A453" t="s">
        <v>62</v>
      </c>
      <c r="B453" t="s">
        <v>21</v>
      </c>
      <c r="C453" t="s">
        <v>6</v>
      </c>
      <c r="D453" t="s">
        <v>7</v>
      </c>
    </row>
    <row r="454" spans="1:4" x14ac:dyDescent="0.3">
      <c r="A454" t="s">
        <v>62</v>
      </c>
      <c r="B454" t="s">
        <v>21</v>
      </c>
      <c r="C454" t="s">
        <v>8</v>
      </c>
      <c r="D454" t="s">
        <v>7</v>
      </c>
    </row>
    <row r="455" spans="1:4" x14ac:dyDescent="0.3">
      <c r="A455" t="s">
        <v>62</v>
      </c>
      <c r="B455" t="s">
        <v>21</v>
      </c>
      <c r="C455" t="s">
        <v>9</v>
      </c>
      <c r="D455" t="s">
        <v>7</v>
      </c>
    </row>
    <row r="456" spans="1:4" x14ac:dyDescent="0.3">
      <c r="A456" t="s">
        <v>62</v>
      </c>
      <c r="B456" t="s">
        <v>21</v>
      </c>
      <c r="C456" t="s">
        <v>10</v>
      </c>
      <c r="D456" t="s">
        <v>13</v>
      </c>
    </row>
    <row r="457" spans="1:4" x14ac:dyDescent="0.3">
      <c r="A457" t="s">
        <v>62</v>
      </c>
      <c r="B457" t="s">
        <v>21</v>
      </c>
      <c r="C457" t="s">
        <v>12</v>
      </c>
      <c r="D457" t="s">
        <v>7</v>
      </c>
    </row>
    <row r="458" spans="1:4" x14ac:dyDescent="0.3">
      <c r="A458" t="s">
        <v>62</v>
      </c>
      <c r="B458" t="s">
        <v>21</v>
      </c>
      <c r="C458" t="s">
        <v>14</v>
      </c>
      <c r="D458" t="s">
        <v>7</v>
      </c>
    </row>
    <row r="459" spans="1:4" x14ac:dyDescent="0.3">
      <c r="A459" t="s">
        <v>62</v>
      </c>
      <c r="B459" t="s">
        <v>21</v>
      </c>
      <c r="C459" t="s">
        <v>15</v>
      </c>
      <c r="D459" t="s">
        <v>7</v>
      </c>
    </row>
    <row r="460" spans="1:4" x14ac:dyDescent="0.3">
      <c r="A460" t="s">
        <v>62</v>
      </c>
      <c r="B460" t="s">
        <v>21</v>
      </c>
      <c r="C460" t="s">
        <v>16</v>
      </c>
      <c r="D460" t="s">
        <v>7</v>
      </c>
    </row>
    <row r="461" spans="1:4" x14ac:dyDescent="0.3">
      <c r="A461" t="s">
        <v>62</v>
      </c>
      <c r="B461" t="s">
        <v>21</v>
      </c>
      <c r="C461" t="s">
        <v>17</v>
      </c>
      <c r="D461" t="s">
        <v>7</v>
      </c>
    </row>
    <row r="462" spans="1:4" x14ac:dyDescent="0.3">
      <c r="A462" t="s">
        <v>62</v>
      </c>
      <c r="B462" t="s">
        <v>21</v>
      </c>
      <c r="C462" t="s">
        <v>18</v>
      </c>
      <c r="D462" t="s">
        <v>7</v>
      </c>
    </row>
    <row r="463" spans="1:4" x14ac:dyDescent="0.3">
      <c r="A463" t="s">
        <v>62</v>
      </c>
      <c r="B463" t="s">
        <v>21</v>
      </c>
      <c r="C463" t="s">
        <v>19</v>
      </c>
      <c r="D463" t="s">
        <v>7</v>
      </c>
    </row>
    <row r="464" spans="1:4" x14ac:dyDescent="0.3">
      <c r="A464" t="s">
        <v>63</v>
      </c>
      <c r="B464" t="s">
        <v>21</v>
      </c>
      <c r="C464" t="s">
        <v>6</v>
      </c>
      <c r="D464" t="s">
        <v>7</v>
      </c>
    </row>
    <row r="465" spans="1:4" x14ac:dyDescent="0.3">
      <c r="A465" t="s">
        <v>63</v>
      </c>
      <c r="B465" t="s">
        <v>21</v>
      </c>
      <c r="C465" t="s">
        <v>8</v>
      </c>
      <c r="D465" t="s">
        <v>7</v>
      </c>
    </row>
    <row r="466" spans="1:4" x14ac:dyDescent="0.3">
      <c r="A466" t="s">
        <v>63</v>
      </c>
      <c r="B466" t="s">
        <v>21</v>
      </c>
      <c r="C466" t="s">
        <v>9</v>
      </c>
      <c r="D466" t="s">
        <v>7</v>
      </c>
    </row>
    <row r="467" spans="1:4" x14ac:dyDescent="0.3">
      <c r="A467" t="s">
        <v>63</v>
      </c>
      <c r="B467" t="s">
        <v>21</v>
      </c>
      <c r="C467" t="s">
        <v>10</v>
      </c>
      <c r="D467" t="s">
        <v>13</v>
      </c>
    </row>
    <row r="468" spans="1:4" x14ac:dyDescent="0.3">
      <c r="A468" t="s">
        <v>63</v>
      </c>
      <c r="B468" t="s">
        <v>21</v>
      </c>
      <c r="C468" t="s">
        <v>12</v>
      </c>
      <c r="D468" t="s">
        <v>7</v>
      </c>
    </row>
    <row r="469" spans="1:4" x14ac:dyDescent="0.3">
      <c r="A469" t="s">
        <v>63</v>
      </c>
      <c r="B469" t="s">
        <v>21</v>
      </c>
      <c r="C469" t="s">
        <v>14</v>
      </c>
      <c r="D469" t="s">
        <v>7</v>
      </c>
    </row>
    <row r="470" spans="1:4" x14ac:dyDescent="0.3">
      <c r="A470" t="s">
        <v>63</v>
      </c>
      <c r="B470" t="s">
        <v>21</v>
      </c>
      <c r="C470" t="s">
        <v>15</v>
      </c>
      <c r="D470" t="s">
        <v>7</v>
      </c>
    </row>
    <row r="471" spans="1:4" x14ac:dyDescent="0.3">
      <c r="A471" t="s">
        <v>63</v>
      </c>
      <c r="B471" t="s">
        <v>21</v>
      </c>
      <c r="C471" t="s">
        <v>16</v>
      </c>
      <c r="D471" t="s">
        <v>7</v>
      </c>
    </row>
    <row r="472" spans="1:4" x14ac:dyDescent="0.3">
      <c r="A472" t="s">
        <v>63</v>
      </c>
      <c r="B472" t="s">
        <v>21</v>
      </c>
      <c r="C472" t="s">
        <v>17</v>
      </c>
      <c r="D472" t="s">
        <v>7</v>
      </c>
    </row>
    <row r="473" spans="1:4" x14ac:dyDescent="0.3">
      <c r="A473" t="s">
        <v>63</v>
      </c>
      <c r="B473" t="s">
        <v>21</v>
      </c>
      <c r="C473" t="s">
        <v>18</v>
      </c>
      <c r="D473" t="s">
        <v>7</v>
      </c>
    </row>
    <row r="474" spans="1:4" x14ac:dyDescent="0.3">
      <c r="A474" t="s">
        <v>63</v>
      </c>
      <c r="B474" t="s">
        <v>21</v>
      </c>
      <c r="C474" t="s">
        <v>19</v>
      </c>
      <c r="D474" t="s">
        <v>7</v>
      </c>
    </row>
    <row r="475" spans="1:4" x14ac:dyDescent="0.3">
      <c r="A475" t="s">
        <v>64</v>
      </c>
      <c r="B475" t="s">
        <v>21</v>
      </c>
      <c r="C475" t="s">
        <v>6</v>
      </c>
      <c r="D475" t="s">
        <v>7</v>
      </c>
    </row>
    <row r="476" spans="1:4" x14ac:dyDescent="0.3">
      <c r="A476" t="s">
        <v>64</v>
      </c>
      <c r="B476" t="s">
        <v>21</v>
      </c>
      <c r="C476" t="s">
        <v>8</v>
      </c>
      <c r="D476" t="s">
        <v>7</v>
      </c>
    </row>
    <row r="477" spans="1:4" x14ac:dyDescent="0.3">
      <c r="A477" t="s">
        <v>64</v>
      </c>
      <c r="B477" t="s">
        <v>21</v>
      </c>
      <c r="C477" t="s">
        <v>9</v>
      </c>
      <c r="D477" t="s">
        <v>7</v>
      </c>
    </row>
    <row r="478" spans="1:4" x14ac:dyDescent="0.3">
      <c r="A478" t="s">
        <v>64</v>
      </c>
      <c r="B478" t="s">
        <v>21</v>
      </c>
      <c r="C478" t="s">
        <v>10</v>
      </c>
      <c r="D478" t="s">
        <v>13</v>
      </c>
    </row>
    <row r="479" spans="1:4" x14ac:dyDescent="0.3">
      <c r="A479" t="s">
        <v>64</v>
      </c>
      <c r="B479" t="s">
        <v>21</v>
      </c>
      <c r="C479" t="s">
        <v>12</v>
      </c>
      <c r="D479" t="s">
        <v>7</v>
      </c>
    </row>
    <row r="480" spans="1:4" x14ac:dyDescent="0.3">
      <c r="A480" t="s">
        <v>64</v>
      </c>
      <c r="B480" t="s">
        <v>21</v>
      </c>
      <c r="C480" t="s">
        <v>14</v>
      </c>
      <c r="D480" t="s">
        <v>7</v>
      </c>
    </row>
    <row r="481" spans="1:4" x14ac:dyDescent="0.3">
      <c r="A481" t="s">
        <v>64</v>
      </c>
      <c r="B481" t="s">
        <v>21</v>
      </c>
      <c r="C481" t="s">
        <v>15</v>
      </c>
      <c r="D481" t="s">
        <v>7</v>
      </c>
    </row>
    <row r="482" spans="1:4" x14ac:dyDescent="0.3">
      <c r="A482" t="s">
        <v>64</v>
      </c>
      <c r="B482" t="s">
        <v>21</v>
      </c>
      <c r="C482" t="s">
        <v>16</v>
      </c>
      <c r="D482" t="s">
        <v>7</v>
      </c>
    </row>
    <row r="483" spans="1:4" x14ac:dyDescent="0.3">
      <c r="A483" t="s">
        <v>64</v>
      </c>
      <c r="B483" t="s">
        <v>21</v>
      </c>
      <c r="C483" t="s">
        <v>17</v>
      </c>
      <c r="D483" t="s">
        <v>7</v>
      </c>
    </row>
    <row r="484" spans="1:4" x14ac:dyDescent="0.3">
      <c r="A484" t="s">
        <v>64</v>
      </c>
      <c r="B484" t="s">
        <v>21</v>
      </c>
      <c r="C484" t="s">
        <v>18</v>
      </c>
      <c r="D484" t="s">
        <v>13</v>
      </c>
    </row>
    <row r="485" spans="1:4" x14ac:dyDescent="0.3">
      <c r="A485" t="s">
        <v>64</v>
      </c>
      <c r="B485" t="s">
        <v>21</v>
      </c>
      <c r="C485" t="s">
        <v>19</v>
      </c>
      <c r="D485" t="s">
        <v>7</v>
      </c>
    </row>
    <row r="486" spans="1:4" x14ac:dyDescent="0.3">
      <c r="A486" t="s">
        <v>65</v>
      </c>
      <c r="B486" t="s">
        <v>21</v>
      </c>
      <c r="C486" t="s">
        <v>6</v>
      </c>
      <c r="D486" t="s">
        <v>7</v>
      </c>
    </row>
    <row r="487" spans="1:4" x14ac:dyDescent="0.3">
      <c r="A487" t="s">
        <v>65</v>
      </c>
      <c r="B487" t="s">
        <v>21</v>
      </c>
      <c r="C487" t="s">
        <v>8</v>
      </c>
      <c r="D487" t="s">
        <v>7</v>
      </c>
    </row>
    <row r="488" spans="1:4" x14ac:dyDescent="0.3">
      <c r="A488" t="s">
        <v>65</v>
      </c>
      <c r="B488" t="s">
        <v>21</v>
      </c>
      <c r="C488" t="s">
        <v>9</v>
      </c>
      <c r="D488" t="s">
        <v>7</v>
      </c>
    </row>
    <row r="489" spans="1:4" x14ac:dyDescent="0.3">
      <c r="A489" t="s">
        <v>65</v>
      </c>
      <c r="B489" t="s">
        <v>21</v>
      </c>
      <c r="C489" t="s">
        <v>10</v>
      </c>
      <c r="D489" t="s">
        <v>13</v>
      </c>
    </row>
    <row r="490" spans="1:4" x14ac:dyDescent="0.3">
      <c r="A490" t="s">
        <v>65</v>
      </c>
      <c r="B490" t="s">
        <v>21</v>
      </c>
      <c r="C490" t="s">
        <v>12</v>
      </c>
      <c r="D490" t="s">
        <v>7</v>
      </c>
    </row>
    <row r="491" spans="1:4" x14ac:dyDescent="0.3">
      <c r="A491" t="s">
        <v>65</v>
      </c>
      <c r="B491" t="s">
        <v>21</v>
      </c>
      <c r="C491" t="s">
        <v>14</v>
      </c>
      <c r="D491" t="s">
        <v>7</v>
      </c>
    </row>
    <row r="492" spans="1:4" x14ac:dyDescent="0.3">
      <c r="A492" t="s">
        <v>65</v>
      </c>
      <c r="B492" t="s">
        <v>21</v>
      </c>
      <c r="C492" t="s">
        <v>15</v>
      </c>
      <c r="D492" t="s">
        <v>7</v>
      </c>
    </row>
    <row r="493" spans="1:4" x14ac:dyDescent="0.3">
      <c r="A493" t="s">
        <v>65</v>
      </c>
      <c r="B493" t="s">
        <v>21</v>
      </c>
      <c r="C493" t="s">
        <v>16</v>
      </c>
      <c r="D493" t="s">
        <v>7</v>
      </c>
    </row>
    <row r="494" spans="1:4" x14ac:dyDescent="0.3">
      <c r="A494" t="s">
        <v>65</v>
      </c>
      <c r="B494" t="s">
        <v>21</v>
      </c>
      <c r="C494" t="s">
        <v>17</v>
      </c>
      <c r="D494" t="s">
        <v>7</v>
      </c>
    </row>
    <row r="495" spans="1:4" x14ac:dyDescent="0.3">
      <c r="A495" t="s">
        <v>65</v>
      </c>
      <c r="B495" t="s">
        <v>21</v>
      </c>
      <c r="C495" t="s">
        <v>18</v>
      </c>
      <c r="D495" t="s">
        <v>7</v>
      </c>
    </row>
    <row r="496" spans="1:4" x14ac:dyDescent="0.3">
      <c r="A496" t="s">
        <v>65</v>
      </c>
      <c r="B496" t="s">
        <v>21</v>
      </c>
      <c r="C496" t="s">
        <v>19</v>
      </c>
      <c r="D496" t="s">
        <v>7</v>
      </c>
    </row>
    <row r="497" spans="1:4" x14ac:dyDescent="0.3">
      <c r="A497" t="s">
        <v>66</v>
      </c>
      <c r="B497" t="s">
        <v>21</v>
      </c>
      <c r="C497" t="s">
        <v>6</v>
      </c>
      <c r="D497" t="s">
        <v>7</v>
      </c>
    </row>
    <row r="498" spans="1:4" x14ac:dyDescent="0.3">
      <c r="A498" t="s">
        <v>66</v>
      </c>
      <c r="B498" t="s">
        <v>21</v>
      </c>
      <c r="C498" t="s">
        <v>8</v>
      </c>
      <c r="D498" t="s">
        <v>7</v>
      </c>
    </row>
    <row r="499" spans="1:4" x14ac:dyDescent="0.3">
      <c r="A499" t="s">
        <v>66</v>
      </c>
      <c r="B499" t="s">
        <v>21</v>
      </c>
      <c r="C499" t="s">
        <v>9</v>
      </c>
      <c r="D499" t="s">
        <v>7</v>
      </c>
    </row>
    <row r="500" spans="1:4" x14ac:dyDescent="0.3">
      <c r="A500" t="s">
        <v>66</v>
      </c>
      <c r="B500" t="s">
        <v>21</v>
      </c>
      <c r="C500" t="s">
        <v>10</v>
      </c>
      <c r="D500" t="s">
        <v>13</v>
      </c>
    </row>
    <row r="501" spans="1:4" x14ac:dyDescent="0.3">
      <c r="A501" t="s">
        <v>66</v>
      </c>
      <c r="B501" t="s">
        <v>21</v>
      </c>
      <c r="C501" t="s">
        <v>12</v>
      </c>
      <c r="D501" t="s">
        <v>7</v>
      </c>
    </row>
    <row r="502" spans="1:4" x14ac:dyDescent="0.3">
      <c r="A502" t="s">
        <v>66</v>
      </c>
      <c r="B502" t="s">
        <v>21</v>
      </c>
      <c r="C502" t="s">
        <v>14</v>
      </c>
      <c r="D502" t="s">
        <v>7</v>
      </c>
    </row>
    <row r="503" spans="1:4" x14ac:dyDescent="0.3">
      <c r="A503" t="s">
        <v>66</v>
      </c>
      <c r="B503" t="s">
        <v>21</v>
      </c>
      <c r="C503" t="s">
        <v>15</v>
      </c>
      <c r="D503" t="s">
        <v>7</v>
      </c>
    </row>
    <row r="504" spans="1:4" x14ac:dyDescent="0.3">
      <c r="A504" t="s">
        <v>66</v>
      </c>
      <c r="B504" t="s">
        <v>21</v>
      </c>
      <c r="C504" t="s">
        <v>16</v>
      </c>
      <c r="D504" t="s">
        <v>7</v>
      </c>
    </row>
    <row r="505" spans="1:4" x14ac:dyDescent="0.3">
      <c r="A505" t="s">
        <v>66</v>
      </c>
      <c r="B505" t="s">
        <v>21</v>
      </c>
      <c r="C505" t="s">
        <v>17</v>
      </c>
      <c r="D505" t="s">
        <v>7</v>
      </c>
    </row>
    <row r="506" spans="1:4" x14ac:dyDescent="0.3">
      <c r="A506" t="s">
        <v>66</v>
      </c>
      <c r="B506" t="s">
        <v>21</v>
      </c>
      <c r="C506" t="s">
        <v>18</v>
      </c>
      <c r="D506" t="s">
        <v>7</v>
      </c>
    </row>
    <row r="507" spans="1:4" x14ac:dyDescent="0.3">
      <c r="A507" t="s">
        <v>66</v>
      </c>
      <c r="B507" t="s">
        <v>21</v>
      </c>
      <c r="C507" t="s">
        <v>19</v>
      </c>
      <c r="D507" t="s">
        <v>7</v>
      </c>
    </row>
    <row r="508" spans="1:4" x14ac:dyDescent="0.3">
      <c r="A508" t="s">
        <v>67</v>
      </c>
      <c r="B508" t="s">
        <v>21</v>
      </c>
      <c r="C508" t="s">
        <v>6</v>
      </c>
      <c r="D508" t="s">
        <v>13</v>
      </c>
    </row>
    <row r="509" spans="1:4" x14ac:dyDescent="0.3">
      <c r="A509" t="s">
        <v>67</v>
      </c>
      <c r="B509" t="s">
        <v>21</v>
      </c>
      <c r="C509" t="s">
        <v>8</v>
      </c>
      <c r="D509" t="s">
        <v>7</v>
      </c>
    </row>
    <row r="510" spans="1:4" x14ac:dyDescent="0.3">
      <c r="A510" t="s">
        <v>67</v>
      </c>
      <c r="B510" t="s">
        <v>21</v>
      </c>
      <c r="C510" t="s">
        <v>9</v>
      </c>
      <c r="D510" t="s">
        <v>7</v>
      </c>
    </row>
    <row r="511" spans="1:4" x14ac:dyDescent="0.3">
      <c r="A511" t="s">
        <v>67</v>
      </c>
      <c r="B511" t="s">
        <v>21</v>
      </c>
      <c r="C511" t="s">
        <v>10</v>
      </c>
      <c r="D511" t="s">
        <v>7</v>
      </c>
    </row>
    <row r="512" spans="1:4" x14ac:dyDescent="0.3">
      <c r="A512" t="s">
        <v>67</v>
      </c>
      <c r="B512" t="s">
        <v>21</v>
      </c>
      <c r="C512" t="s">
        <v>12</v>
      </c>
      <c r="D512" t="s">
        <v>7</v>
      </c>
    </row>
    <row r="513" spans="1:4" x14ac:dyDescent="0.3">
      <c r="A513" t="s">
        <v>67</v>
      </c>
      <c r="B513" t="s">
        <v>21</v>
      </c>
      <c r="C513" t="s">
        <v>14</v>
      </c>
      <c r="D513" t="s">
        <v>7</v>
      </c>
    </row>
    <row r="514" spans="1:4" x14ac:dyDescent="0.3">
      <c r="A514" t="s">
        <v>67</v>
      </c>
      <c r="B514" t="s">
        <v>21</v>
      </c>
      <c r="C514" t="s">
        <v>15</v>
      </c>
      <c r="D514" t="s">
        <v>7</v>
      </c>
    </row>
    <row r="515" spans="1:4" x14ac:dyDescent="0.3">
      <c r="A515" t="s">
        <v>67</v>
      </c>
      <c r="B515" t="s">
        <v>21</v>
      </c>
      <c r="C515" t="s">
        <v>16</v>
      </c>
      <c r="D515" t="s">
        <v>7</v>
      </c>
    </row>
    <row r="516" spans="1:4" x14ac:dyDescent="0.3">
      <c r="A516" t="s">
        <v>67</v>
      </c>
      <c r="B516" t="s">
        <v>21</v>
      </c>
      <c r="C516" t="s">
        <v>17</v>
      </c>
      <c r="D516" t="s">
        <v>7</v>
      </c>
    </row>
    <row r="517" spans="1:4" x14ac:dyDescent="0.3">
      <c r="A517" t="s">
        <v>67</v>
      </c>
      <c r="B517" t="s">
        <v>21</v>
      </c>
      <c r="C517" t="s">
        <v>18</v>
      </c>
      <c r="D517" t="s">
        <v>7</v>
      </c>
    </row>
    <row r="518" spans="1:4" x14ac:dyDescent="0.3">
      <c r="A518" t="s">
        <v>67</v>
      </c>
      <c r="B518" t="s">
        <v>21</v>
      </c>
      <c r="C518" t="s">
        <v>19</v>
      </c>
      <c r="D518" t="s">
        <v>7</v>
      </c>
    </row>
    <row r="519" spans="1:4" x14ac:dyDescent="0.3">
      <c r="A519" t="s">
        <v>68</v>
      </c>
      <c r="B519" t="s">
        <v>21</v>
      </c>
      <c r="C519" t="s">
        <v>6</v>
      </c>
      <c r="D519" t="s">
        <v>7</v>
      </c>
    </row>
    <row r="520" spans="1:4" x14ac:dyDescent="0.3">
      <c r="A520" t="s">
        <v>68</v>
      </c>
      <c r="B520" t="s">
        <v>21</v>
      </c>
      <c r="C520" t="s">
        <v>8</v>
      </c>
      <c r="D520" t="s">
        <v>7</v>
      </c>
    </row>
    <row r="521" spans="1:4" x14ac:dyDescent="0.3">
      <c r="A521" t="s">
        <v>68</v>
      </c>
      <c r="B521" t="s">
        <v>21</v>
      </c>
      <c r="C521" t="s">
        <v>9</v>
      </c>
      <c r="D521" t="s">
        <v>7</v>
      </c>
    </row>
    <row r="522" spans="1:4" x14ac:dyDescent="0.3">
      <c r="A522" t="s">
        <v>68</v>
      </c>
      <c r="B522" t="s">
        <v>21</v>
      </c>
      <c r="C522" t="s">
        <v>10</v>
      </c>
      <c r="D522" t="s">
        <v>13</v>
      </c>
    </row>
    <row r="523" spans="1:4" x14ac:dyDescent="0.3">
      <c r="A523" t="s">
        <v>68</v>
      </c>
      <c r="B523" t="s">
        <v>21</v>
      </c>
      <c r="C523" t="s">
        <v>12</v>
      </c>
      <c r="D523" t="s">
        <v>7</v>
      </c>
    </row>
    <row r="524" spans="1:4" x14ac:dyDescent="0.3">
      <c r="A524" t="s">
        <v>68</v>
      </c>
      <c r="B524" t="s">
        <v>21</v>
      </c>
      <c r="C524" t="s">
        <v>14</v>
      </c>
      <c r="D524" t="s">
        <v>7</v>
      </c>
    </row>
    <row r="525" spans="1:4" x14ac:dyDescent="0.3">
      <c r="A525" t="s">
        <v>68</v>
      </c>
      <c r="B525" t="s">
        <v>21</v>
      </c>
      <c r="C525" t="s">
        <v>15</v>
      </c>
      <c r="D525" t="s">
        <v>7</v>
      </c>
    </row>
    <row r="526" spans="1:4" x14ac:dyDescent="0.3">
      <c r="A526" t="s">
        <v>68</v>
      </c>
      <c r="B526" t="s">
        <v>21</v>
      </c>
      <c r="C526" t="s">
        <v>16</v>
      </c>
      <c r="D526" t="s">
        <v>7</v>
      </c>
    </row>
    <row r="527" spans="1:4" x14ac:dyDescent="0.3">
      <c r="A527" t="s">
        <v>68</v>
      </c>
      <c r="B527" t="s">
        <v>21</v>
      </c>
      <c r="C527" t="s">
        <v>17</v>
      </c>
      <c r="D527" t="s">
        <v>7</v>
      </c>
    </row>
    <row r="528" spans="1:4" x14ac:dyDescent="0.3">
      <c r="A528" t="s">
        <v>68</v>
      </c>
      <c r="B528" t="s">
        <v>21</v>
      </c>
      <c r="C528" t="s">
        <v>18</v>
      </c>
      <c r="D528" t="s">
        <v>7</v>
      </c>
    </row>
    <row r="529" spans="1:4" x14ac:dyDescent="0.3">
      <c r="A529" t="s">
        <v>68</v>
      </c>
      <c r="B529" t="s">
        <v>21</v>
      </c>
      <c r="C529" t="s">
        <v>19</v>
      </c>
      <c r="D529" t="s">
        <v>7</v>
      </c>
    </row>
    <row r="530" spans="1:4" x14ac:dyDescent="0.3">
      <c r="A530" t="s">
        <v>69</v>
      </c>
      <c r="B530" t="s">
        <v>21</v>
      </c>
      <c r="C530" t="s">
        <v>6</v>
      </c>
      <c r="D530" t="s">
        <v>7</v>
      </c>
    </row>
    <row r="531" spans="1:4" x14ac:dyDescent="0.3">
      <c r="A531" t="s">
        <v>69</v>
      </c>
      <c r="B531" t="s">
        <v>21</v>
      </c>
      <c r="C531" t="s">
        <v>8</v>
      </c>
      <c r="D531" t="s">
        <v>7</v>
      </c>
    </row>
    <row r="532" spans="1:4" x14ac:dyDescent="0.3">
      <c r="A532" t="s">
        <v>69</v>
      </c>
      <c r="B532" t="s">
        <v>21</v>
      </c>
      <c r="C532" t="s">
        <v>9</v>
      </c>
      <c r="D532" t="s">
        <v>7</v>
      </c>
    </row>
    <row r="533" spans="1:4" x14ac:dyDescent="0.3">
      <c r="A533" t="s">
        <v>69</v>
      </c>
      <c r="B533" t="s">
        <v>21</v>
      </c>
      <c r="C533" t="s">
        <v>10</v>
      </c>
      <c r="D533" t="s">
        <v>13</v>
      </c>
    </row>
    <row r="534" spans="1:4" x14ac:dyDescent="0.3">
      <c r="A534" t="s">
        <v>69</v>
      </c>
      <c r="B534" t="s">
        <v>21</v>
      </c>
      <c r="C534" t="s">
        <v>12</v>
      </c>
      <c r="D534" t="s">
        <v>7</v>
      </c>
    </row>
    <row r="535" spans="1:4" x14ac:dyDescent="0.3">
      <c r="A535" t="s">
        <v>69</v>
      </c>
      <c r="B535" t="s">
        <v>21</v>
      </c>
      <c r="C535" t="s">
        <v>14</v>
      </c>
      <c r="D535" t="s">
        <v>7</v>
      </c>
    </row>
    <row r="536" spans="1:4" x14ac:dyDescent="0.3">
      <c r="A536" t="s">
        <v>69</v>
      </c>
      <c r="B536" t="s">
        <v>21</v>
      </c>
      <c r="C536" t="s">
        <v>15</v>
      </c>
      <c r="D536" t="s">
        <v>7</v>
      </c>
    </row>
    <row r="537" spans="1:4" x14ac:dyDescent="0.3">
      <c r="A537" t="s">
        <v>69</v>
      </c>
      <c r="B537" t="s">
        <v>21</v>
      </c>
      <c r="C537" t="s">
        <v>16</v>
      </c>
      <c r="D537" t="s">
        <v>7</v>
      </c>
    </row>
    <row r="538" spans="1:4" x14ac:dyDescent="0.3">
      <c r="A538" t="s">
        <v>69</v>
      </c>
      <c r="B538" t="s">
        <v>21</v>
      </c>
      <c r="C538" t="s">
        <v>17</v>
      </c>
      <c r="D538" t="s">
        <v>7</v>
      </c>
    </row>
    <row r="539" spans="1:4" x14ac:dyDescent="0.3">
      <c r="A539" t="s">
        <v>69</v>
      </c>
      <c r="B539" t="s">
        <v>21</v>
      </c>
      <c r="C539" t="s">
        <v>18</v>
      </c>
      <c r="D539" t="s">
        <v>7</v>
      </c>
    </row>
    <row r="540" spans="1:4" x14ac:dyDescent="0.3">
      <c r="A540" t="s">
        <v>69</v>
      </c>
      <c r="B540" t="s">
        <v>21</v>
      </c>
      <c r="C540" t="s">
        <v>19</v>
      </c>
      <c r="D540" t="s">
        <v>7</v>
      </c>
    </row>
    <row r="541" spans="1:4" x14ac:dyDescent="0.3">
      <c r="A541" t="s">
        <v>70</v>
      </c>
      <c r="B541" t="s">
        <v>5</v>
      </c>
      <c r="C541" t="s">
        <v>6</v>
      </c>
      <c r="D541" t="s">
        <v>7</v>
      </c>
    </row>
    <row r="542" spans="1:4" x14ac:dyDescent="0.3">
      <c r="A542" t="s">
        <v>70</v>
      </c>
      <c r="B542" t="s">
        <v>5</v>
      </c>
      <c r="C542" t="s">
        <v>8</v>
      </c>
      <c r="D542" t="s">
        <v>7</v>
      </c>
    </row>
    <row r="543" spans="1:4" x14ac:dyDescent="0.3">
      <c r="A543" t="s">
        <v>70</v>
      </c>
      <c r="B543" t="s">
        <v>5</v>
      </c>
      <c r="C543" t="s">
        <v>9</v>
      </c>
      <c r="D543" t="s">
        <v>7</v>
      </c>
    </row>
    <row r="544" spans="1:4" x14ac:dyDescent="0.3">
      <c r="A544" t="s">
        <v>70</v>
      </c>
      <c r="B544" t="s">
        <v>5</v>
      </c>
      <c r="C544" t="s">
        <v>10</v>
      </c>
      <c r="D544" t="s">
        <v>71</v>
      </c>
    </row>
    <row r="545" spans="1:4" x14ac:dyDescent="0.3">
      <c r="A545" t="s">
        <v>70</v>
      </c>
      <c r="B545" t="s">
        <v>5</v>
      </c>
      <c r="C545" t="s">
        <v>12</v>
      </c>
      <c r="D545" t="s">
        <v>7</v>
      </c>
    </row>
    <row r="546" spans="1:4" x14ac:dyDescent="0.3">
      <c r="A546" t="s">
        <v>70</v>
      </c>
      <c r="B546" t="s">
        <v>5</v>
      </c>
      <c r="C546" t="s">
        <v>14</v>
      </c>
      <c r="D546" t="s">
        <v>7</v>
      </c>
    </row>
    <row r="547" spans="1:4" x14ac:dyDescent="0.3">
      <c r="A547" t="s">
        <v>70</v>
      </c>
      <c r="B547" t="s">
        <v>5</v>
      </c>
      <c r="C547" t="s">
        <v>15</v>
      </c>
      <c r="D547" t="s">
        <v>7</v>
      </c>
    </row>
    <row r="548" spans="1:4" x14ac:dyDescent="0.3">
      <c r="A548" t="s">
        <v>70</v>
      </c>
      <c r="B548" t="s">
        <v>5</v>
      </c>
      <c r="C548" t="s">
        <v>16</v>
      </c>
      <c r="D548" t="s">
        <v>7</v>
      </c>
    </row>
    <row r="549" spans="1:4" x14ac:dyDescent="0.3">
      <c r="A549" t="s">
        <v>70</v>
      </c>
      <c r="B549" t="s">
        <v>5</v>
      </c>
      <c r="C549" t="s">
        <v>17</v>
      </c>
      <c r="D549" t="s">
        <v>7</v>
      </c>
    </row>
    <row r="550" spans="1:4" x14ac:dyDescent="0.3">
      <c r="A550" t="s">
        <v>70</v>
      </c>
      <c r="B550" t="s">
        <v>5</v>
      </c>
      <c r="C550" t="s">
        <v>18</v>
      </c>
      <c r="D550" t="s">
        <v>53</v>
      </c>
    </row>
    <row r="551" spans="1:4" x14ac:dyDescent="0.3">
      <c r="A551" t="s">
        <v>70</v>
      </c>
      <c r="B551" t="s">
        <v>5</v>
      </c>
      <c r="C551" t="s">
        <v>19</v>
      </c>
      <c r="D551" t="s">
        <v>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B895B-AC44-446F-A857-5B8FBEF4B1A0}">
  <sheetPr codeName="Sheet5"/>
  <dimension ref="A1:BG87"/>
  <sheetViews>
    <sheetView topLeftCell="AE1" workbookViewId="0">
      <pane ySplit="1" topLeftCell="A58" activePane="bottomLeft" state="frozen"/>
      <selection activeCell="AJ1" sqref="AJ1"/>
      <selection pane="bottomLeft" activeCell="AJ72" sqref="AJ72"/>
    </sheetView>
  </sheetViews>
  <sheetFormatPr defaultRowHeight="16.5" x14ac:dyDescent="0.3"/>
  <cols>
    <col min="1" max="1" width="20.25" customWidth="1"/>
    <col min="2" max="2" width="58" customWidth="1"/>
    <col min="3" max="3" width="20" customWidth="1"/>
    <col min="4" max="4" width="31.5" customWidth="1"/>
    <col min="5" max="5" width="15.625" customWidth="1"/>
    <col min="6" max="6" width="19.75" customWidth="1"/>
    <col min="7" max="7" width="24.25" customWidth="1"/>
    <col min="8" max="8" width="16.25" customWidth="1"/>
    <col min="9" max="9" width="18.75" customWidth="1"/>
    <col min="10" max="10" width="26.375" customWidth="1"/>
    <col min="11" max="11" width="15" customWidth="1"/>
    <col min="12" max="12" width="21.5" customWidth="1"/>
    <col min="13" max="13" width="21.25" customWidth="1"/>
    <col min="14" max="14" width="17.625" customWidth="1"/>
    <col min="15" max="15" width="9.25" customWidth="1"/>
    <col min="16" max="16" width="9" customWidth="1"/>
    <col min="17" max="17" width="20.25" customWidth="1"/>
    <col min="18" max="18" width="17.375" customWidth="1"/>
    <col min="19" max="19" width="17.625" customWidth="1"/>
    <col min="20" max="20" width="18.75" customWidth="1"/>
    <col min="21" max="21" width="20.375" customWidth="1"/>
    <col min="22" max="22" width="17.625" customWidth="1"/>
    <col min="23" max="25" width="20.25" customWidth="1"/>
    <col min="26" max="26" width="19.625" customWidth="1"/>
    <col min="27" max="27" width="18.5" customWidth="1"/>
    <col min="28" max="28" width="17.875" customWidth="1"/>
    <col min="29" max="29" width="17.625" customWidth="1"/>
    <col min="30" max="30" width="16.25" customWidth="1"/>
    <col min="31" max="31" width="19.75" customWidth="1"/>
    <col min="32" max="32" width="15" customWidth="1"/>
    <col min="33" max="33" width="16.625" customWidth="1"/>
    <col min="34" max="34" width="15.625" customWidth="1"/>
    <col min="35" max="35" width="13.875" customWidth="1"/>
    <col min="36" max="36" width="97.875" customWidth="1"/>
    <col min="37" max="37" width="13.375" customWidth="1"/>
    <col min="38" max="38" width="9.375" customWidth="1"/>
    <col min="39" max="39" width="37.25" customWidth="1"/>
    <col min="40" max="40" width="34.375" customWidth="1"/>
    <col min="41" max="41" width="11.75" customWidth="1"/>
    <col min="42" max="42" width="11.25" customWidth="1"/>
    <col min="43" max="43" width="11.5" customWidth="1"/>
    <col min="45" max="45" width="10.75" customWidth="1"/>
    <col min="46" max="46" width="10.625" customWidth="1"/>
    <col min="47" max="47" width="13.625" customWidth="1"/>
    <col min="48" max="48" width="45.875" customWidth="1"/>
    <col min="51" max="51" width="11.625" customWidth="1"/>
    <col min="52" max="52" width="12.375" customWidth="1"/>
    <col min="54" max="54" width="12.5" customWidth="1"/>
    <col min="59" max="59" width="28.875" customWidth="1"/>
    <col min="61" max="64" width="8"/>
    <col min="65" max="65" width="10.25" customWidth="1"/>
  </cols>
  <sheetData>
    <row r="1" spans="1:59" ht="30" x14ac:dyDescent="0.3">
      <c r="A1" s="67" t="s">
        <v>72</v>
      </c>
      <c r="B1" s="68" t="s">
        <v>0</v>
      </c>
      <c r="C1" s="68" t="s">
        <v>73</v>
      </c>
      <c r="D1" s="69" t="s">
        <v>74</v>
      </c>
      <c r="E1" s="70" t="s">
        <v>75</v>
      </c>
      <c r="F1" s="71" t="s">
        <v>76</v>
      </c>
      <c r="G1" s="71" t="s">
        <v>77</v>
      </c>
      <c r="H1" s="71" t="s">
        <v>78</v>
      </c>
      <c r="I1" s="68" t="s">
        <v>79</v>
      </c>
      <c r="J1" s="72" t="s">
        <v>80</v>
      </c>
      <c r="K1" s="68" t="s">
        <v>81</v>
      </c>
      <c r="L1" s="68" t="s">
        <v>82</v>
      </c>
      <c r="M1" s="73" t="s">
        <v>83</v>
      </c>
      <c r="N1" s="68" t="s">
        <v>84</v>
      </c>
      <c r="O1" s="68" t="s">
        <v>85</v>
      </c>
      <c r="P1" s="68" t="s">
        <v>86</v>
      </c>
      <c r="Q1" s="73" t="s">
        <v>87</v>
      </c>
      <c r="R1" s="68" t="s">
        <v>88</v>
      </c>
      <c r="S1" s="68" t="s">
        <v>89</v>
      </c>
      <c r="T1" s="68" t="s">
        <v>90</v>
      </c>
      <c r="U1" s="68" t="s">
        <v>91</v>
      </c>
      <c r="V1" s="68" t="s">
        <v>92</v>
      </c>
      <c r="W1" s="73" t="s">
        <v>93</v>
      </c>
      <c r="X1" s="73" t="s">
        <v>94</v>
      </c>
      <c r="Y1" s="74" t="s">
        <v>95</v>
      </c>
      <c r="Z1" s="68" t="s">
        <v>96</v>
      </c>
      <c r="AA1" s="68" t="s">
        <v>97</v>
      </c>
      <c r="AB1" s="68" t="s">
        <v>98</v>
      </c>
      <c r="AC1" s="68" t="s">
        <v>99</v>
      </c>
      <c r="AD1" s="68" t="s">
        <v>100</v>
      </c>
      <c r="AE1" s="73" t="s">
        <v>101</v>
      </c>
      <c r="AF1" s="68" t="s">
        <v>102</v>
      </c>
      <c r="AG1" s="68" t="s">
        <v>103</v>
      </c>
      <c r="AH1" s="68" t="s">
        <v>104</v>
      </c>
      <c r="AI1" s="73" t="s">
        <v>105</v>
      </c>
      <c r="AJ1" s="69" t="s">
        <v>106</v>
      </c>
      <c r="AK1" s="138" t="s">
        <v>6</v>
      </c>
      <c r="AL1" s="138" t="s">
        <v>8</v>
      </c>
      <c r="AM1" s="138" t="s">
        <v>9</v>
      </c>
      <c r="AN1" s="138" t="s">
        <v>10</v>
      </c>
      <c r="AO1" s="138" t="s">
        <v>12</v>
      </c>
      <c r="AP1" s="138" t="s">
        <v>14</v>
      </c>
      <c r="AQ1" s="138" t="s">
        <v>15</v>
      </c>
      <c r="AR1" s="138" t="s">
        <v>16</v>
      </c>
      <c r="AS1" s="138" t="s">
        <v>17</v>
      </c>
      <c r="AT1" s="138" t="s">
        <v>18</v>
      </c>
      <c r="AU1" s="138" t="s">
        <v>19</v>
      </c>
      <c r="AV1" s="75" t="s">
        <v>1</v>
      </c>
      <c r="AZ1" s="1"/>
    </row>
    <row r="2" spans="1:59" s="51" customFormat="1" ht="39.950000000000003" customHeight="1" x14ac:dyDescent="0.3">
      <c r="A2" s="64">
        <v>5</v>
      </c>
      <c r="B2" s="48" t="s">
        <v>4</v>
      </c>
      <c r="C2" s="48" t="s">
        <v>107</v>
      </c>
      <c r="D2" s="24" t="s">
        <v>108</v>
      </c>
      <c r="E2" s="57" t="s">
        <v>109</v>
      </c>
      <c r="F2" s="48" t="s">
        <v>110</v>
      </c>
      <c r="G2" s="48" t="s">
        <v>111</v>
      </c>
      <c r="H2" s="48" t="s">
        <v>112</v>
      </c>
      <c r="I2" s="48" t="s">
        <v>113</v>
      </c>
      <c r="J2" s="50">
        <v>0.7</v>
      </c>
      <c r="K2" s="48" t="s">
        <v>114</v>
      </c>
      <c r="L2" s="48" t="s">
        <v>115</v>
      </c>
      <c r="M2" s="48" t="s">
        <v>116</v>
      </c>
      <c r="N2" s="48" t="s">
        <v>117</v>
      </c>
      <c r="O2" s="48" t="s">
        <v>118</v>
      </c>
      <c r="P2" s="48" t="s">
        <v>119</v>
      </c>
      <c r="Q2" s="48" t="s">
        <v>120</v>
      </c>
      <c r="R2" s="48" t="s">
        <v>121</v>
      </c>
      <c r="S2" s="48" t="s">
        <v>122</v>
      </c>
      <c r="T2" s="48" t="s">
        <v>123</v>
      </c>
      <c r="U2" s="48" t="s">
        <v>7</v>
      </c>
      <c r="V2" s="48" t="s">
        <v>7</v>
      </c>
      <c r="W2" s="48" t="s">
        <v>124</v>
      </c>
      <c r="X2" s="48" t="s">
        <v>7</v>
      </c>
      <c r="Y2" s="48" t="s">
        <v>7</v>
      </c>
      <c r="Z2" s="48" t="s">
        <v>125</v>
      </c>
      <c r="AA2" s="48" t="s">
        <v>7</v>
      </c>
      <c r="AB2" s="48" t="s">
        <v>126</v>
      </c>
      <c r="AC2" s="48" t="s">
        <v>7</v>
      </c>
      <c r="AD2" s="48" t="s">
        <v>127</v>
      </c>
      <c r="AE2" s="48" t="s">
        <v>128</v>
      </c>
      <c r="AF2" s="48" t="s">
        <v>129</v>
      </c>
      <c r="AG2" s="48" t="s">
        <v>130</v>
      </c>
      <c r="AH2" s="48" t="s">
        <v>131</v>
      </c>
      <c r="AI2" s="48" t="s">
        <v>132</v>
      </c>
      <c r="AJ2" s="10" t="s">
        <v>133</v>
      </c>
      <c r="AK2" s="24" t="s">
        <v>7</v>
      </c>
      <c r="AL2" s="24" t="s">
        <v>7</v>
      </c>
      <c r="AM2" s="24" t="s">
        <v>7</v>
      </c>
      <c r="AN2" s="56" t="s">
        <v>11</v>
      </c>
      <c r="AO2" s="24" t="s">
        <v>13</v>
      </c>
      <c r="AP2" s="24" t="s">
        <v>7</v>
      </c>
      <c r="AQ2" s="24" t="s">
        <v>7</v>
      </c>
      <c r="AR2" s="24" t="s">
        <v>7</v>
      </c>
      <c r="AS2" s="24" t="s">
        <v>7</v>
      </c>
      <c r="AT2" s="24" t="s">
        <v>7</v>
      </c>
      <c r="AU2" s="24" t="s">
        <v>7</v>
      </c>
      <c r="AV2" s="66" t="s">
        <v>5</v>
      </c>
      <c r="AW2"/>
      <c r="AX2"/>
      <c r="AY2"/>
      <c r="AZ2"/>
      <c r="BA2"/>
      <c r="BB2"/>
      <c r="BC2"/>
      <c r="BD2"/>
      <c r="BE2"/>
      <c r="BF2"/>
      <c r="BG2"/>
    </row>
    <row r="3" spans="1:59" ht="39.950000000000003" customHeight="1" x14ac:dyDescent="0.3">
      <c r="A3" s="65">
        <v>25</v>
      </c>
      <c r="B3" s="24" t="s">
        <v>20</v>
      </c>
      <c r="C3" s="24" t="s">
        <v>134</v>
      </c>
      <c r="D3" s="56" t="s">
        <v>135</v>
      </c>
      <c r="E3" s="24" t="s">
        <v>136</v>
      </c>
      <c r="F3" s="24" t="s">
        <v>137</v>
      </c>
      <c r="G3" s="24" t="s">
        <v>111</v>
      </c>
      <c r="H3" s="24" t="s">
        <v>112</v>
      </c>
      <c r="I3" s="24" t="s">
        <v>138</v>
      </c>
      <c r="J3" s="8">
        <v>4</v>
      </c>
      <c r="K3" s="24" t="s">
        <v>139</v>
      </c>
      <c r="L3" s="24" t="s">
        <v>140</v>
      </c>
      <c r="M3" s="24" t="s">
        <v>116</v>
      </c>
      <c r="N3" s="24" t="s">
        <v>117</v>
      </c>
      <c r="O3" s="24" t="s">
        <v>141</v>
      </c>
      <c r="P3" s="24" t="s">
        <v>142</v>
      </c>
      <c r="Q3" s="24" t="s">
        <v>120</v>
      </c>
      <c r="R3" s="24" t="s">
        <v>143</v>
      </c>
      <c r="S3" s="24" t="s">
        <v>144</v>
      </c>
      <c r="T3" s="24" t="s">
        <v>145</v>
      </c>
      <c r="U3" s="24" t="s">
        <v>146</v>
      </c>
      <c r="V3" s="24" t="s">
        <v>147</v>
      </c>
      <c r="W3" s="24" t="s">
        <v>148</v>
      </c>
      <c r="X3" s="24" t="s">
        <v>149</v>
      </c>
      <c r="Y3" s="24" t="s">
        <v>150</v>
      </c>
      <c r="Z3" s="24" t="s">
        <v>151</v>
      </c>
      <c r="AA3" s="24" t="s">
        <v>152</v>
      </c>
      <c r="AB3" s="24" t="s">
        <v>153</v>
      </c>
      <c r="AC3" s="24" t="s">
        <v>154</v>
      </c>
      <c r="AD3" s="24" t="s">
        <v>155</v>
      </c>
      <c r="AE3" s="24" t="s">
        <v>7</v>
      </c>
      <c r="AF3" s="24" t="s">
        <v>7</v>
      </c>
      <c r="AG3" s="24" t="s">
        <v>156</v>
      </c>
      <c r="AH3" s="24" t="s">
        <v>157</v>
      </c>
      <c r="AI3" s="24" t="s">
        <v>158</v>
      </c>
      <c r="AJ3" s="16" t="s">
        <v>159</v>
      </c>
      <c r="AK3" s="56" t="s">
        <v>7</v>
      </c>
      <c r="AL3" s="56" t="s">
        <v>7</v>
      </c>
      <c r="AM3" s="56" t="s">
        <v>7</v>
      </c>
      <c r="AN3" s="56" t="s">
        <v>11</v>
      </c>
      <c r="AO3" s="56" t="s">
        <v>7</v>
      </c>
      <c r="AP3" s="56" t="s">
        <v>7</v>
      </c>
      <c r="AQ3" s="56" t="s">
        <v>7</v>
      </c>
      <c r="AR3" s="56" t="s">
        <v>7</v>
      </c>
      <c r="AS3" s="56" t="s">
        <v>7</v>
      </c>
      <c r="AT3" s="56" t="s">
        <v>7</v>
      </c>
      <c r="AU3" s="56" t="s">
        <v>7</v>
      </c>
      <c r="AV3" s="66" t="s">
        <v>21</v>
      </c>
    </row>
    <row r="4" spans="1:59" s="51" customFormat="1" ht="39.950000000000003" customHeight="1" x14ac:dyDescent="0.3">
      <c r="A4" s="65">
        <v>26</v>
      </c>
      <c r="B4" s="24" t="s">
        <v>22</v>
      </c>
      <c r="C4" s="36" t="s">
        <v>160</v>
      </c>
      <c r="D4" s="56" t="s">
        <v>7</v>
      </c>
      <c r="E4" s="24" t="s">
        <v>161</v>
      </c>
      <c r="F4" s="24" t="s">
        <v>162</v>
      </c>
      <c r="G4" s="24" t="s">
        <v>163</v>
      </c>
      <c r="H4" s="24" t="s">
        <v>164</v>
      </c>
      <c r="I4" s="24" t="s">
        <v>165</v>
      </c>
      <c r="J4" s="8">
        <v>0.15</v>
      </c>
      <c r="K4" s="24" t="s">
        <v>166</v>
      </c>
      <c r="L4" s="24" t="s">
        <v>167</v>
      </c>
      <c r="M4" s="24" t="s">
        <v>168</v>
      </c>
      <c r="N4" s="24" t="s">
        <v>169</v>
      </c>
      <c r="O4" s="24" t="s">
        <v>170</v>
      </c>
      <c r="P4" s="24" t="s">
        <v>171</v>
      </c>
      <c r="Q4" s="24" t="s">
        <v>156</v>
      </c>
      <c r="R4" s="24" t="s">
        <v>172</v>
      </c>
      <c r="S4" s="24" t="s">
        <v>167</v>
      </c>
      <c r="T4" s="24" t="s">
        <v>173</v>
      </c>
      <c r="U4" s="24" t="s">
        <v>7</v>
      </c>
      <c r="V4" s="24" t="s">
        <v>7</v>
      </c>
      <c r="W4" s="24" t="s">
        <v>7</v>
      </c>
      <c r="X4" s="24"/>
      <c r="Y4" s="24" t="s">
        <v>7</v>
      </c>
      <c r="Z4" s="24" t="s">
        <v>7</v>
      </c>
      <c r="AA4" s="24" t="s">
        <v>7</v>
      </c>
      <c r="AB4" s="24" t="s">
        <v>174</v>
      </c>
      <c r="AC4" s="24" t="s">
        <v>7</v>
      </c>
      <c r="AD4" s="24" t="s">
        <v>175</v>
      </c>
      <c r="AE4" s="24" t="s">
        <v>7</v>
      </c>
      <c r="AF4" s="24" t="s">
        <v>7</v>
      </c>
      <c r="AG4" s="24" t="s">
        <v>176</v>
      </c>
      <c r="AH4" s="24" t="s">
        <v>177</v>
      </c>
      <c r="AI4" s="24" t="s">
        <v>7</v>
      </c>
      <c r="AJ4" s="16" t="s">
        <v>178</v>
      </c>
      <c r="AK4" s="56" t="s">
        <v>7</v>
      </c>
      <c r="AL4" s="56" t="s">
        <v>7</v>
      </c>
      <c r="AM4" s="56" t="s">
        <v>7</v>
      </c>
      <c r="AN4" s="56" t="s">
        <v>11</v>
      </c>
      <c r="AO4" s="56" t="s">
        <v>7</v>
      </c>
      <c r="AP4" s="56" t="s">
        <v>7</v>
      </c>
      <c r="AQ4" s="56" t="s">
        <v>7</v>
      </c>
      <c r="AR4" s="56" t="s">
        <v>7</v>
      </c>
      <c r="AS4" s="56" t="s">
        <v>7</v>
      </c>
      <c r="AT4" s="56" t="s">
        <v>7</v>
      </c>
      <c r="AU4" s="56" t="s">
        <v>7</v>
      </c>
      <c r="AV4" s="66" t="s">
        <v>21</v>
      </c>
      <c r="AW4"/>
      <c r="AX4"/>
      <c r="AY4"/>
      <c r="AZ4"/>
      <c r="BA4"/>
      <c r="BB4"/>
      <c r="BC4"/>
      <c r="BD4"/>
      <c r="BE4"/>
      <c r="BF4"/>
      <c r="BG4"/>
    </row>
    <row r="5" spans="1:59" s="51" customFormat="1" ht="39.950000000000003" customHeight="1" x14ac:dyDescent="0.3">
      <c r="A5" s="65">
        <v>32</v>
      </c>
      <c r="B5" s="24" t="s">
        <v>23</v>
      </c>
      <c r="C5" s="38" t="s">
        <v>179</v>
      </c>
      <c r="D5" s="56" t="s">
        <v>180</v>
      </c>
      <c r="E5" s="24" t="s">
        <v>181</v>
      </c>
      <c r="F5" s="24" t="s">
        <v>182</v>
      </c>
      <c r="G5" s="24" t="s">
        <v>183</v>
      </c>
      <c r="H5" s="24" t="s">
        <v>112</v>
      </c>
      <c r="I5" s="38" t="s">
        <v>184</v>
      </c>
      <c r="J5" s="8">
        <v>0.45</v>
      </c>
      <c r="K5" s="39" t="s">
        <v>185</v>
      </c>
      <c r="L5" s="24" t="s">
        <v>186</v>
      </c>
      <c r="M5" s="24" t="s">
        <v>116</v>
      </c>
      <c r="N5" s="24" t="s">
        <v>117</v>
      </c>
      <c r="O5" s="24" t="s">
        <v>187</v>
      </c>
      <c r="P5" s="24" t="s">
        <v>188</v>
      </c>
      <c r="Q5" s="24" t="s">
        <v>120</v>
      </c>
      <c r="R5" s="24" t="s">
        <v>189</v>
      </c>
      <c r="S5" s="24" t="s">
        <v>190</v>
      </c>
      <c r="T5" s="24" t="s">
        <v>191</v>
      </c>
      <c r="U5" s="24" t="s">
        <v>7</v>
      </c>
      <c r="V5" s="24" t="s">
        <v>7</v>
      </c>
      <c r="W5" s="24" t="s">
        <v>192</v>
      </c>
      <c r="X5" s="24" t="s">
        <v>193</v>
      </c>
      <c r="Y5" s="24" t="s">
        <v>194</v>
      </c>
      <c r="Z5" s="24" t="s">
        <v>195</v>
      </c>
      <c r="AA5" s="24" t="s">
        <v>7</v>
      </c>
      <c r="AB5" s="24" t="s">
        <v>196</v>
      </c>
      <c r="AC5" s="24" t="s">
        <v>7</v>
      </c>
      <c r="AD5" s="24" t="s">
        <v>197</v>
      </c>
      <c r="AE5" s="24" t="s">
        <v>198</v>
      </c>
      <c r="AF5" s="24" t="s">
        <v>199</v>
      </c>
      <c r="AG5" s="24" t="s">
        <v>200</v>
      </c>
      <c r="AH5" s="24" t="s">
        <v>201</v>
      </c>
      <c r="AI5" s="24" t="s">
        <v>202</v>
      </c>
      <c r="AJ5" s="35" t="s">
        <v>203</v>
      </c>
      <c r="AK5" s="56" t="s">
        <v>7</v>
      </c>
      <c r="AL5" s="56" t="s">
        <v>7</v>
      </c>
      <c r="AM5" s="56" t="s">
        <v>7</v>
      </c>
      <c r="AN5" s="56" t="s">
        <v>11</v>
      </c>
      <c r="AO5" s="56" t="s">
        <v>13</v>
      </c>
      <c r="AP5" s="56" t="s">
        <v>7</v>
      </c>
      <c r="AQ5" s="56" t="s">
        <v>7</v>
      </c>
      <c r="AR5" s="56" t="s">
        <v>7</v>
      </c>
      <c r="AS5" s="56" t="s">
        <v>7</v>
      </c>
      <c r="AT5" s="56" t="s">
        <v>7</v>
      </c>
      <c r="AU5" s="56" t="s">
        <v>7</v>
      </c>
      <c r="AV5" s="66" t="s">
        <v>21</v>
      </c>
      <c r="AW5"/>
      <c r="AX5"/>
      <c r="AY5"/>
      <c r="AZ5"/>
      <c r="BA5"/>
      <c r="BB5"/>
      <c r="BC5"/>
      <c r="BD5"/>
      <c r="BE5"/>
      <c r="BF5"/>
      <c r="BG5"/>
    </row>
    <row r="6" spans="1:59" s="51" customFormat="1" ht="39.950000000000003" customHeight="1" x14ac:dyDescent="0.3">
      <c r="A6" s="65">
        <v>34</v>
      </c>
      <c r="B6" s="24" t="s">
        <v>24</v>
      </c>
      <c r="C6" s="24" t="s">
        <v>204</v>
      </c>
      <c r="D6" s="56" t="s">
        <v>135</v>
      </c>
      <c r="E6" s="24" t="s">
        <v>136</v>
      </c>
      <c r="F6" s="24" t="s">
        <v>205</v>
      </c>
      <c r="G6" s="24" t="s">
        <v>111</v>
      </c>
      <c r="H6" s="24" t="s">
        <v>112</v>
      </c>
      <c r="I6" s="24" t="s">
        <v>206</v>
      </c>
      <c r="J6" s="8">
        <v>1.2</v>
      </c>
      <c r="K6" s="24" t="s">
        <v>207</v>
      </c>
      <c r="L6" s="24" t="s">
        <v>208</v>
      </c>
      <c r="M6" s="24" t="s">
        <v>116</v>
      </c>
      <c r="N6" s="24" t="s">
        <v>209</v>
      </c>
      <c r="O6" s="24" t="s">
        <v>187</v>
      </c>
      <c r="P6" s="24" t="s">
        <v>210</v>
      </c>
      <c r="Q6" s="24" t="s">
        <v>120</v>
      </c>
      <c r="R6" s="24" t="s">
        <v>211</v>
      </c>
      <c r="S6" s="24" t="s">
        <v>212</v>
      </c>
      <c r="T6" s="24" t="s">
        <v>213</v>
      </c>
      <c r="U6" s="24" t="s">
        <v>214</v>
      </c>
      <c r="V6" s="24" t="s">
        <v>7</v>
      </c>
      <c r="W6" s="24" t="s">
        <v>7</v>
      </c>
      <c r="X6" s="24" t="s">
        <v>7</v>
      </c>
      <c r="Y6" s="24" t="s">
        <v>7</v>
      </c>
      <c r="Z6" s="24" t="s">
        <v>195</v>
      </c>
      <c r="AA6" s="24" t="s">
        <v>7</v>
      </c>
      <c r="AB6" s="24" t="s">
        <v>7</v>
      </c>
      <c r="AC6" s="24" t="s">
        <v>7</v>
      </c>
      <c r="AD6" s="24" t="s">
        <v>215</v>
      </c>
      <c r="AE6" s="24" t="s">
        <v>216</v>
      </c>
      <c r="AF6" s="24" t="s">
        <v>217</v>
      </c>
      <c r="AG6" s="24" t="s">
        <v>218</v>
      </c>
      <c r="AH6" s="24" t="s">
        <v>201</v>
      </c>
      <c r="AI6" s="24" t="s">
        <v>7</v>
      </c>
      <c r="AJ6" s="35" t="s">
        <v>219</v>
      </c>
      <c r="AK6" s="56" t="s">
        <v>7</v>
      </c>
      <c r="AL6" s="56" t="s">
        <v>7</v>
      </c>
      <c r="AM6" s="56" t="s">
        <v>7</v>
      </c>
      <c r="AN6" s="56" t="s">
        <v>11</v>
      </c>
      <c r="AO6" s="56" t="s">
        <v>7</v>
      </c>
      <c r="AP6" s="56" t="s">
        <v>7</v>
      </c>
      <c r="AQ6" s="56" t="s">
        <v>7</v>
      </c>
      <c r="AR6" s="56" t="s">
        <v>7</v>
      </c>
      <c r="AS6" s="56" t="s">
        <v>7</v>
      </c>
      <c r="AT6" s="56" t="s">
        <v>7</v>
      </c>
      <c r="AU6" s="56" t="s">
        <v>7</v>
      </c>
      <c r="AV6" s="66" t="s">
        <v>21</v>
      </c>
      <c r="AW6"/>
      <c r="AX6"/>
      <c r="AY6"/>
      <c r="AZ6"/>
      <c r="BA6"/>
      <c r="BB6"/>
      <c r="BC6"/>
      <c r="BD6"/>
      <c r="BE6"/>
      <c r="BF6"/>
      <c r="BG6"/>
    </row>
    <row r="7" spans="1:59" ht="39.950000000000003" customHeight="1" x14ac:dyDescent="0.3">
      <c r="A7" s="65">
        <v>45</v>
      </c>
      <c r="B7" s="24" t="s">
        <v>25</v>
      </c>
      <c r="C7" s="24" t="s">
        <v>220</v>
      </c>
      <c r="D7" s="56" t="s">
        <v>7</v>
      </c>
      <c r="E7" s="24" t="s">
        <v>221</v>
      </c>
      <c r="F7" s="24" t="s">
        <v>182</v>
      </c>
      <c r="G7" s="24" t="s">
        <v>183</v>
      </c>
      <c r="H7" s="24" t="s">
        <v>164</v>
      </c>
      <c r="I7" s="24" t="s">
        <v>222</v>
      </c>
      <c r="J7" s="8">
        <v>7.1599999999999997E-2</v>
      </c>
      <c r="K7" s="8" t="s">
        <v>223</v>
      </c>
      <c r="L7" s="24" t="s">
        <v>224</v>
      </c>
      <c r="M7" s="24" t="s">
        <v>116</v>
      </c>
      <c r="N7" s="24" t="s">
        <v>225</v>
      </c>
      <c r="O7" s="24" t="s">
        <v>141</v>
      </c>
      <c r="P7" s="24" t="s">
        <v>171</v>
      </c>
      <c r="Q7" s="24" t="s">
        <v>120</v>
      </c>
      <c r="R7" s="24" t="s">
        <v>226</v>
      </c>
      <c r="S7" s="24" t="s">
        <v>227</v>
      </c>
      <c r="T7" s="24" t="s">
        <v>228</v>
      </c>
      <c r="U7" s="24"/>
      <c r="V7" s="24"/>
      <c r="W7" s="24"/>
      <c r="X7" s="37" t="s">
        <v>229</v>
      </c>
      <c r="Y7" s="24" t="s">
        <v>7</v>
      </c>
      <c r="Z7" s="24" t="s">
        <v>230</v>
      </c>
      <c r="AA7" s="24" t="s">
        <v>7</v>
      </c>
      <c r="AB7" s="24" t="s">
        <v>7</v>
      </c>
      <c r="AC7" s="24" t="s">
        <v>7</v>
      </c>
      <c r="AD7" s="24" t="s">
        <v>127</v>
      </c>
      <c r="AE7" s="24" t="s">
        <v>231</v>
      </c>
      <c r="AF7" s="24"/>
      <c r="AG7" s="24" t="s">
        <v>232</v>
      </c>
      <c r="AH7" s="24" t="s">
        <v>233</v>
      </c>
      <c r="AI7" s="24"/>
      <c r="AJ7" s="16" t="s">
        <v>234</v>
      </c>
      <c r="AK7" s="56" t="s">
        <v>7</v>
      </c>
      <c r="AL7" s="56" t="s">
        <v>7</v>
      </c>
      <c r="AM7" s="56" t="s">
        <v>7</v>
      </c>
      <c r="AN7" s="56" t="s">
        <v>11</v>
      </c>
      <c r="AO7" s="56" t="s">
        <v>7</v>
      </c>
      <c r="AP7" s="56" t="s">
        <v>7</v>
      </c>
      <c r="AQ7" s="56" t="s">
        <v>7</v>
      </c>
      <c r="AR7" s="56" t="s">
        <v>7</v>
      </c>
      <c r="AS7" s="56" t="s">
        <v>7</v>
      </c>
      <c r="AT7" s="56" t="s">
        <v>7</v>
      </c>
      <c r="AU7" s="56" t="s">
        <v>7</v>
      </c>
      <c r="AV7" s="66" t="s">
        <v>21</v>
      </c>
    </row>
    <row r="8" spans="1:59" ht="39.950000000000003" customHeight="1" x14ac:dyDescent="0.3">
      <c r="A8" s="65">
        <v>46</v>
      </c>
      <c r="B8" s="24" t="s">
        <v>26</v>
      </c>
      <c r="C8" s="24" t="s">
        <v>179</v>
      </c>
      <c r="D8" s="56" t="s">
        <v>135</v>
      </c>
      <c r="E8" s="24" t="s">
        <v>136</v>
      </c>
      <c r="F8" s="24" t="s">
        <v>182</v>
      </c>
      <c r="G8" s="24" t="s">
        <v>235</v>
      </c>
      <c r="H8" s="24" t="s">
        <v>112</v>
      </c>
      <c r="I8" s="24" t="s">
        <v>236</v>
      </c>
      <c r="J8" s="8">
        <v>0.7</v>
      </c>
      <c r="K8" s="41" t="s">
        <v>237</v>
      </c>
      <c r="L8" s="43" t="s">
        <v>238</v>
      </c>
      <c r="M8" s="24" t="s">
        <v>116</v>
      </c>
      <c r="N8" s="24" t="s">
        <v>117</v>
      </c>
      <c r="O8" s="24" t="s">
        <v>187</v>
      </c>
      <c r="P8" s="24" t="s">
        <v>239</v>
      </c>
      <c r="Q8" s="24" t="s">
        <v>120</v>
      </c>
      <c r="R8" s="24" t="s">
        <v>7</v>
      </c>
      <c r="S8" s="24" t="s">
        <v>7</v>
      </c>
      <c r="T8" s="24" t="s">
        <v>240</v>
      </c>
      <c r="U8" s="24"/>
      <c r="V8" s="24" t="s">
        <v>241</v>
      </c>
      <c r="W8" s="24"/>
      <c r="X8" s="24" t="s">
        <v>242</v>
      </c>
      <c r="Y8" s="24" t="s">
        <v>7</v>
      </c>
      <c r="Z8" s="24"/>
      <c r="AA8" s="24"/>
      <c r="AB8" s="24"/>
      <c r="AC8" s="24" t="s">
        <v>7</v>
      </c>
      <c r="AD8" s="24" t="s">
        <v>243</v>
      </c>
      <c r="AE8" s="24"/>
      <c r="AF8" s="24"/>
      <c r="AG8" s="24" t="s">
        <v>244</v>
      </c>
      <c r="AH8" s="24" t="s">
        <v>245</v>
      </c>
      <c r="AI8" s="24"/>
      <c r="AJ8" s="16" t="s">
        <v>246</v>
      </c>
      <c r="AK8" s="56" t="s">
        <v>7</v>
      </c>
      <c r="AL8" s="56" t="s">
        <v>7</v>
      </c>
      <c r="AM8" s="56" t="s">
        <v>7</v>
      </c>
      <c r="AN8" s="56" t="s">
        <v>11</v>
      </c>
      <c r="AO8" s="56" t="s">
        <v>7</v>
      </c>
      <c r="AP8" s="56" t="s">
        <v>7</v>
      </c>
      <c r="AQ8" s="56" t="s">
        <v>7</v>
      </c>
      <c r="AR8" s="56" t="s">
        <v>7</v>
      </c>
      <c r="AS8" s="56" t="s">
        <v>7</v>
      </c>
      <c r="AT8" s="56" t="s">
        <v>7</v>
      </c>
      <c r="AU8" s="56" t="s">
        <v>7</v>
      </c>
      <c r="AV8" s="66" t="s">
        <v>21</v>
      </c>
    </row>
    <row r="9" spans="1:59" ht="39.950000000000003" customHeight="1" x14ac:dyDescent="0.3">
      <c r="A9" s="65">
        <v>47</v>
      </c>
      <c r="B9" s="24" t="s">
        <v>27</v>
      </c>
      <c r="C9" s="24" t="s">
        <v>179</v>
      </c>
      <c r="D9" s="56" t="s">
        <v>135</v>
      </c>
      <c r="E9" s="24" t="s">
        <v>136</v>
      </c>
      <c r="F9" s="24" t="s">
        <v>247</v>
      </c>
      <c r="G9" s="24" t="s">
        <v>235</v>
      </c>
      <c r="H9" s="24" t="s">
        <v>112</v>
      </c>
      <c r="I9" s="24" t="s">
        <v>248</v>
      </c>
      <c r="J9" s="8">
        <v>2.5</v>
      </c>
      <c r="K9" s="24" t="s">
        <v>237</v>
      </c>
      <c r="L9" s="24" t="s">
        <v>249</v>
      </c>
      <c r="M9" s="24" t="s">
        <v>116</v>
      </c>
      <c r="N9" s="24" t="s">
        <v>117</v>
      </c>
      <c r="O9" s="24" t="s">
        <v>187</v>
      </c>
      <c r="P9" s="24" t="s">
        <v>239</v>
      </c>
      <c r="Q9" s="24" t="s">
        <v>120</v>
      </c>
      <c r="R9" s="24" t="s">
        <v>250</v>
      </c>
      <c r="S9" s="24" t="s">
        <v>251</v>
      </c>
      <c r="T9" s="24" t="s">
        <v>252</v>
      </c>
      <c r="U9" s="24" t="s">
        <v>253</v>
      </c>
      <c r="V9" s="24" t="s">
        <v>241</v>
      </c>
      <c r="W9" s="24"/>
      <c r="X9" s="24" t="s">
        <v>242</v>
      </c>
      <c r="Y9" s="24" t="s">
        <v>7</v>
      </c>
      <c r="Z9" s="24"/>
      <c r="AA9" s="24"/>
      <c r="AB9" s="24" t="s">
        <v>126</v>
      </c>
      <c r="AC9" s="24" t="s">
        <v>7</v>
      </c>
      <c r="AD9" s="24" t="s">
        <v>254</v>
      </c>
      <c r="AE9" s="24"/>
      <c r="AF9" s="24"/>
      <c r="AG9" s="24" t="s">
        <v>244</v>
      </c>
      <c r="AH9" s="24" t="s">
        <v>255</v>
      </c>
      <c r="AI9" s="24"/>
      <c r="AJ9" s="16" t="s">
        <v>256</v>
      </c>
      <c r="AK9" s="56" t="s">
        <v>7</v>
      </c>
      <c r="AL9" s="56" t="s">
        <v>7</v>
      </c>
      <c r="AM9" s="56" t="s">
        <v>7</v>
      </c>
      <c r="AN9" s="56" t="s">
        <v>11</v>
      </c>
      <c r="AO9" s="56" t="s">
        <v>7</v>
      </c>
      <c r="AP9" s="56" t="s">
        <v>7</v>
      </c>
      <c r="AQ9" s="56" t="s">
        <v>7</v>
      </c>
      <c r="AR9" s="56" t="s">
        <v>7</v>
      </c>
      <c r="AS9" s="56" t="s">
        <v>7</v>
      </c>
      <c r="AT9" s="56" t="s">
        <v>7</v>
      </c>
      <c r="AU9" s="56" t="s">
        <v>7</v>
      </c>
      <c r="AV9" s="66" t="s">
        <v>21</v>
      </c>
    </row>
    <row r="10" spans="1:59" ht="39.950000000000003" customHeight="1" x14ac:dyDescent="0.3">
      <c r="A10" s="65">
        <v>51</v>
      </c>
      <c r="B10" s="24" t="s">
        <v>28</v>
      </c>
      <c r="C10" s="24" t="s">
        <v>257</v>
      </c>
      <c r="D10" s="56" t="s">
        <v>258</v>
      </c>
      <c r="E10" s="24" t="s">
        <v>259</v>
      </c>
      <c r="F10" s="24" t="s">
        <v>260</v>
      </c>
      <c r="G10" s="24" t="s">
        <v>235</v>
      </c>
      <c r="H10" s="24" t="s">
        <v>112</v>
      </c>
      <c r="I10" s="24" t="s">
        <v>261</v>
      </c>
      <c r="J10" s="8">
        <v>2</v>
      </c>
      <c r="K10" s="24" t="s">
        <v>262</v>
      </c>
      <c r="L10" s="10" t="s">
        <v>263</v>
      </c>
      <c r="M10" s="24" t="s">
        <v>116</v>
      </c>
      <c r="N10" s="24" t="s">
        <v>264</v>
      </c>
      <c r="O10" s="24" t="s">
        <v>265</v>
      </c>
      <c r="P10" s="24" t="s">
        <v>266</v>
      </c>
      <c r="Q10" s="24" t="s">
        <v>120</v>
      </c>
      <c r="R10" s="24" t="s">
        <v>7</v>
      </c>
      <c r="S10" s="24" t="s">
        <v>267</v>
      </c>
      <c r="T10" s="24"/>
      <c r="U10" s="24"/>
      <c r="V10" s="24"/>
      <c r="W10" s="24" t="s">
        <v>7</v>
      </c>
      <c r="X10" s="24" t="s">
        <v>7</v>
      </c>
      <c r="Y10" s="24" t="s">
        <v>7</v>
      </c>
      <c r="Z10" s="24" t="s">
        <v>268</v>
      </c>
      <c r="AA10" s="24" t="s">
        <v>7</v>
      </c>
      <c r="AB10" s="24" t="s">
        <v>7</v>
      </c>
      <c r="AC10" s="24" t="s">
        <v>7</v>
      </c>
      <c r="AD10" s="24"/>
      <c r="AE10" s="37" t="s">
        <v>269</v>
      </c>
      <c r="AF10" s="24" t="s">
        <v>270</v>
      </c>
      <c r="AG10" s="24" t="s">
        <v>200</v>
      </c>
      <c r="AH10" s="24" t="s">
        <v>255</v>
      </c>
      <c r="AI10" s="24" t="s">
        <v>271</v>
      </c>
      <c r="AJ10" s="16" t="s">
        <v>272</v>
      </c>
      <c r="AK10" s="56" t="s">
        <v>7</v>
      </c>
      <c r="AL10" s="56" t="s">
        <v>7</v>
      </c>
      <c r="AM10" s="56" t="s">
        <v>7</v>
      </c>
      <c r="AN10" s="56" t="s">
        <v>11</v>
      </c>
      <c r="AO10" s="56" t="s">
        <v>7</v>
      </c>
      <c r="AP10" s="56" t="s">
        <v>7</v>
      </c>
      <c r="AQ10" s="56" t="s">
        <v>7</v>
      </c>
      <c r="AR10" s="56" t="s">
        <v>7</v>
      </c>
      <c r="AS10" s="56" t="s">
        <v>7</v>
      </c>
      <c r="AT10" s="56" t="s">
        <v>7</v>
      </c>
      <c r="AU10" s="56" t="s">
        <v>7</v>
      </c>
      <c r="AV10" s="66" t="s">
        <v>21</v>
      </c>
    </row>
    <row r="11" spans="1:59" s="51" customFormat="1" ht="39.950000000000003" customHeight="1" x14ac:dyDescent="0.3">
      <c r="A11" s="64">
        <v>15</v>
      </c>
      <c r="B11" s="48" t="s">
        <v>29</v>
      </c>
      <c r="C11" s="48" t="s">
        <v>273</v>
      </c>
      <c r="D11" s="24" t="s">
        <v>274</v>
      </c>
      <c r="E11" s="57" t="s">
        <v>275</v>
      </c>
      <c r="F11" s="48" t="s">
        <v>110</v>
      </c>
      <c r="G11" s="48" t="s">
        <v>183</v>
      </c>
      <c r="H11" s="48" t="s">
        <v>164</v>
      </c>
      <c r="I11" s="48" t="s">
        <v>276</v>
      </c>
      <c r="J11" s="50">
        <v>0.11600000000000001</v>
      </c>
      <c r="K11" s="48" t="s">
        <v>114</v>
      </c>
      <c r="L11" s="48" t="s">
        <v>277</v>
      </c>
      <c r="M11" s="48" t="s">
        <v>116</v>
      </c>
      <c r="N11" s="48" t="s">
        <v>278</v>
      </c>
      <c r="O11" s="48" t="s">
        <v>279</v>
      </c>
      <c r="P11" s="48" t="s">
        <v>280</v>
      </c>
      <c r="Q11" s="48" t="s">
        <v>120</v>
      </c>
      <c r="R11" s="48" t="s">
        <v>281</v>
      </c>
      <c r="S11" s="48" t="s">
        <v>282</v>
      </c>
      <c r="T11" s="48" t="s">
        <v>283</v>
      </c>
      <c r="U11" s="48" t="s">
        <v>284</v>
      </c>
      <c r="V11" s="48" t="s">
        <v>285</v>
      </c>
      <c r="W11" s="48" t="s">
        <v>169</v>
      </c>
      <c r="X11" s="48" t="s">
        <v>149</v>
      </c>
      <c r="Y11" s="48" t="s">
        <v>286</v>
      </c>
      <c r="Z11" s="48" t="s">
        <v>287</v>
      </c>
      <c r="AA11" s="48" t="s">
        <v>7</v>
      </c>
      <c r="AB11" s="48" t="s">
        <v>126</v>
      </c>
      <c r="AC11" s="48" t="s">
        <v>7</v>
      </c>
      <c r="AD11" s="48" t="s">
        <v>288</v>
      </c>
      <c r="AE11" s="48" t="s">
        <v>289</v>
      </c>
      <c r="AF11" s="48" t="s">
        <v>290</v>
      </c>
      <c r="AG11" s="48" t="s">
        <v>291</v>
      </c>
      <c r="AH11" s="48" t="s">
        <v>7</v>
      </c>
      <c r="AI11" s="48" t="s">
        <v>292</v>
      </c>
      <c r="AJ11" s="10" t="s">
        <v>293</v>
      </c>
      <c r="AK11" s="24" t="s">
        <v>7</v>
      </c>
      <c r="AL11" s="24" t="s">
        <v>7</v>
      </c>
      <c r="AM11" s="24" t="s">
        <v>7</v>
      </c>
      <c r="AN11" s="24" t="s">
        <v>294</v>
      </c>
      <c r="AO11" s="24" t="s">
        <v>7</v>
      </c>
      <c r="AP11" s="24" t="s">
        <v>7</v>
      </c>
      <c r="AQ11" s="24" t="s">
        <v>7</v>
      </c>
      <c r="AR11" s="24" t="s">
        <v>7</v>
      </c>
      <c r="AS11" s="24" t="s">
        <v>7</v>
      </c>
      <c r="AT11" s="24" t="s">
        <v>7</v>
      </c>
      <c r="AU11" s="24" t="s">
        <v>7</v>
      </c>
      <c r="AV11" s="66" t="s">
        <v>5</v>
      </c>
      <c r="AW11"/>
      <c r="AX11"/>
      <c r="AY11"/>
      <c r="AZ11"/>
      <c r="BA11"/>
      <c r="BB11"/>
      <c r="BC11"/>
      <c r="BD11"/>
      <c r="BE11"/>
      <c r="BF11"/>
      <c r="BG11"/>
    </row>
    <row r="12" spans="1:59" s="51" customFormat="1" ht="39.950000000000003" customHeight="1" x14ac:dyDescent="0.3">
      <c r="A12" s="65">
        <v>17</v>
      </c>
      <c r="B12" s="24" t="s">
        <v>30</v>
      </c>
      <c r="C12" s="24" t="s">
        <v>295</v>
      </c>
      <c r="D12" s="24" t="s">
        <v>296</v>
      </c>
      <c r="E12" s="57" t="s">
        <v>275</v>
      </c>
      <c r="F12" s="24" t="s">
        <v>182</v>
      </c>
      <c r="G12" s="24" t="s">
        <v>183</v>
      </c>
      <c r="H12" s="24" t="s">
        <v>112</v>
      </c>
      <c r="I12" s="24" t="s">
        <v>184</v>
      </c>
      <c r="J12" s="8">
        <v>0.45</v>
      </c>
      <c r="K12" s="24" t="s">
        <v>114</v>
      </c>
      <c r="L12" s="24" t="s">
        <v>297</v>
      </c>
      <c r="M12" s="24" t="s">
        <v>116</v>
      </c>
      <c r="N12" s="9" t="s">
        <v>117</v>
      </c>
      <c r="O12" s="24" t="s">
        <v>187</v>
      </c>
      <c r="P12" s="24" t="s">
        <v>239</v>
      </c>
      <c r="Q12" s="24" t="s">
        <v>120</v>
      </c>
      <c r="R12" s="10" t="s">
        <v>298</v>
      </c>
      <c r="S12" s="24" t="s">
        <v>299</v>
      </c>
      <c r="T12" s="24" t="s">
        <v>300</v>
      </c>
      <c r="U12" s="24" t="s">
        <v>284</v>
      </c>
      <c r="V12" s="24" t="s">
        <v>285</v>
      </c>
      <c r="W12" s="10"/>
      <c r="X12" s="10" t="s">
        <v>301</v>
      </c>
      <c r="Y12" s="24" t="s">
        <v>194</v>
      </c>
      <c r="Z12" s="24" t="s">
        <v>125</v>
      </c>
      <c r="AA12" s="10"/>
      <c r="AB12" s="24" t="s">
        <v>126</v>
      </c>
      <c r="AC12" s="10"/>
      <c r="AD12" s="10"/>
      <c r="AE12" s="24" t="s">
        <v>198</v>
      </c>
      <c r="AF12" s="10"/>
      <c r="AG12" s="24" t="s">
        <v>302</v>
      </c>
      <c r="AH12" s="10"/>
      <c r="AI12" s="24" t="s">
        <v>292</v>
      </c>
      <c r="AJ12" s="16" t="s">
        <v>303</v>
      </c>
      <c r="AK12" s="24" t="s">
        <v>7</v>
      </c>
      <c r="AL12" s="24" t="s">
        <v>7</v>
      </c>
      <c r="AM12" s="10" t="s">
        <v>7</v>
      </c>
      <c r="AN12" s="24" t="s">
        <v>294</v>
      </c>
      <c r="AO12" s="10" t="s">
        <v>7</v>
      </c>
      <c r="AP12" s="24" t="s">
        <v>7</v>
      </c>
      <c r="AQ12" s="24" t="s">
        <v>7</v>
      </c>
      <c r="AR12" s="24" t="s">
        <v>7</v>
      </c>
      <c r="AS12" s="24" t="s">
        <v>7</v>
      </c>
      <c r="AT12" s="10" t="s">
        <v>7</v>
      </c>
      <c r="AU12" s="10" t="s">
        <v>7</v>
      </c>
      <c r="AV12" s="66" t="s">
        <v>5</v>
      </c>
      <c r="AW12"/>
      <c r="AX12"/>
      <c r="AY12"/>
      <c r="AZ12"/>
      <c r="BA12"/>
      <c r="BB12"/>
      <c r="BC12"/>
      <c r="BD12"/>
      <c r="BE12"/>
      <c r="BF12"/>
      <c r="BG12"/>
    </row>
    <row r="13" spans="1:59" ht="39.950000000000003" customHeight="1" x14ac:dyDescent="0.3">
      <c r="A13" s="65">
        <v>12</v>
      </c>
      <c r="B13" s="24" t="s">
        <v>31</v>
      </c>
      <c r="C13" s="24" t="s">
        <v>304</v>
      </c>
      <c r="D13" s="24" t="s">
        <v>296</v>
      </c>
      <c r="E13" s="57" t="s">
        <v>275</v>
      </c>
      <c r="F13" s="24" t="s">
        <v>110</v>
      </c>
      <c r="G13" s="24" t="s">
        <v>183</v>
      </c>
      <c r="H13" s="24" t="s">
        <v>112</v>
      </c>
      <c r="I13" s="24" t="s">
        <v>305</v>
      </c>
      <c r="J13" s="8">
        <v>4.4000000000000004</v>
      </c>
      <c r="K13" s="24" t="s">
        <v>114</v>
      </c>
      <c r="L13" s="24" t="s">
        <v>306</v>
      </c>
      <c r="M13" s="24" t="s">
        <v>307</v>
      </c>
      <c r="N13" s="24" t="s">
        <v>117</v>
      </c>
      <c r="O13" s="24" t="s">
        <v>279</v>
      </c>
      <c r="P13" s="24" t="s">
        <v>280</v>
      </c>
      <c r="Q13" s="24" t="s">
        <v>120</v>
      </c>
      <c r="R13" s="24" t="s">
        <v>308</v>
      </c>
      <c r="S13" s="24" t="s">
        <v>309</v>
      </c>
      <c r="T13" s="24" t="s">
        <v>310</v>
      </c>
      <c r="U13" s="24" t="s">
        <v>311</v>
      </c>
      <c r="V13" s="24" t="s">
        <v>285</v>
      </c>
      <c r="W13" s="24" t="s">
        <v>312</v>
      </c>
      <c r="X13" s="24" t="s">
        <v>313</v>
      </c>
      <c r="Y13" s="24" t="s">
        <v>7</v>
      </c>
      <c r="Z13" s="24" t="s">
        <v>287</v>
      </c>
      <c r="AA13" s="24" t="s">
        <v>7</v>
      </c>
      <c r="AB13" s="24" t="s">
        <v>126</v>
      </c>
      <c r="AC13" s="24" t="s">
        <v>7</v>
      </c>
      <c r="AD13" s="24" t="s">
        <v>314</v>
      </c>
      <c r="AE13" s="24" t="s">
        <v>289</v>
      </c>
      <c r="AF13" s="24" t="s">
        <v>290</v>
      </c>
      <c r="AG13" s="24" t="s">
        <v>315</v>
      </c>
      <c r="AH13" s="24" t="s">
        <v>131</v>
      </c>
      <c r="AI13" s="24" t="s">
        <v>316</v>
      </c>
      <c r="AJ13" s="10" t="s">
        <v>293</v>
      </c>
      <c r="AK13" s="24" t="s">
        <v>7</v>
      </c>
      <c r="AL13" s="24" t="s">
        <v>7</v>
      </c>
      <c r="AM13" s="24" t="s">
        <v>7</v>
      </c>
      <c r="AN13" s="24" t="s">
        <v>7</v>
      </c>
      <c r="AO13" s="24" t="s">
        <v>7</v>
      </c>
      <c r="AP13" s="24" t="s">
        <v>7</v>
      </c>
      <c r="AQ13" s="24" t="s">
        <v>7</v>
      </c>
      <c r="AR13" s="24" t="s">
        <v>7</v>
      </c>
      <c r="AS13" s="24" t="s">
        <v>7</v>
      </c>
      <c r="AT13" s="24" t="s">
        <v>13</v>
      </c>
      <c r="AU13" s="24" t="s">
        <v>7</v>
      </c>
      <c r="AV13" s="66" t="s">
        <v>5</v>
      </c>
    </row>
    <row r="14" spans="1:59" ht="39.950000000000003" customHeight="1" x14ac:dyDescent="0.3">
      <c r="A14" s="65">
        <v>13</v>
      </c>
      <c r="B14" s="24" t="s">
        <v>32</v>
      </c>
      <c r="C14" s="24" t="s">
        <v>304</v>
      </c>
      <c r="D14" s="24" t="s">
        <v>296</v>
      </c>
      <c r="E14" s="57" t="s">
        <v>275</v>
      </c>
      <c r="F14" s="24" t="s">
        <v>110</v>
      </c>
      <c r="G14" s="24" t="s">
        <v>111</v>
      </c>
      <c r="H14" s="24" t="s">
        <v>164</v>
      </c>
      <c r="I14" s="24" t="s">
        <v>317</v>
      </c>
      <c r="J14" s="8">
        <v>0.11</v>
      </c>
      <c r="K14" s="24" t="s">
        <v>114</v>
      </c>
      <c r="L14" s="24" t="s">
        <v>318</v>
      </c>
      <c r="M14" s="24" t="s">
        <v>307</v>
      </c>
      <c r="N14" s="24" t="s">
        <v>117</v>
      </c>
      <c r="O14" s="24" t="s">
        <v>279</v>
      </c>
      <c r="P14" s="24" t="s">
        <v>319</v>
      </c>
      <c r="Q14" s="24" t="s">
        <v>120</v>
      </c>
      <c r="R14" s="24" t="s">
        <v>320</v>
      </c>
      <c r="S14" s="24" t="s">
        <v>321</v>
      </c>
      <c r="T14" s="24" t="s">
        <v>322</v>
      </c>
      <c r="U14" s="24" t="s">
        <v>7</v>
      </c>
      <c r="V14" s="24" t="s">
        <v>323</v>
      </c>
      <c r="W14" s="24" t="s">
        <v>169</v>
      </c>
      <c r="X14" s="24" t="s">
        <v>324</v>
      </c>
      <c r="Y14" s="24" t="s">
        <v>325</v>
      </c>
      <c r="Z14" s="24" t="s">
        <v>287</v>
      </c>
      <c r="AA14" s="24" t="s">
        <v>7</v>
      </c>
      <c r="AB14" s="24" t="s">
        <v>326</v>
      </c>
      <c r="AC14" s="24" t="s">
        <v>327</v>
      </c>
      <c r="AD14" s="24" t="s">
        <v>328</v>
      </c>
      <c r="AE14" s="24" t="s">
        <v>329</v>
      </c>
      <c r="AF14" s="24" t="s">
        <v>290</v>
      </c>
      <c r="AG14" s="24" t="s">
        <v>330</v>
      </c>
      <c r="AH14" s="24" t="s">
        <v>331</v>
      </c>
      <c r="AI14" s="24" t="s">
        <v>7</v>
      </c>
      <c r="AJ14" s="10" t="s">
        <v>332</v>
      </c>
      <c r="AK14" s="24" t="s">
        <v>7</v>
      </c>
      <c r="AL14" s="24" t="s">
        <v>7</v>
      </c>
      <c r="AM14" s="24" t="s">
        <v>7</v>
      </c>
      <c r="AN14" s="24" t="s">
        <v>7</v>
      </c>
      <c r="AO14" s="24" t="s">
        <v>7</v>
      </c>
      <c r="AP14" s="24" t="s">
        <v>7</v>
      </c>
      <c r="AQ14" s="24" t="s">
        <v>7</v>
      </c>
      <c r="AR14" s="24" t="s">
        <v>7</v>
      </c>
      <c r="AS14" s="24" t="s">
        <v>7</v>
      </c>
      <c r="AT14" s="24" t="s">
        <v>13</v>
      </c>
      <c r="AU14" s="24" t="s">
        <v>7</v>
      </c>
      <c r="AV14" s="66" t="s">
        <v>5</v>
      </c>
    </row>
    <row r="15" spans="1:59" ht="39.950000000000003" customHeight="1" x14ac:dyDescent="0.3">
      <c r="A15" s="65">
        <v>2</v>
      </c>
      <c r="B15" s="24" t="s">
        <v>33</v>
      </c>
      <c r="C15" s="24" t="s">
        <v>333</v>
      </c>
      <c r="D15" s="24" t="s">
        <v>334</v>
      </c>
      <c r="E15" s="57" t="s">
        <v>275</v>
      </c>
      <c r="F15" s="24" t="s">
        <v>110</v>
      </c>
      <c r="G15" s="24" t="s">
        <v>111</v>
      </c>
      <c r="H15" s="24" t="s">
        <v>112</v>
      </c>
      <c r="I15" s="24" t="s">
        <v>335</v>
      </c>
      <c r="J15" s="8">
        <v>1.4</v>
      </c>
      <c r="K15" s="24" t="s">
        <v>114</v>
      </c>
      <c r="L15" s="24" t="s">
        <v>336</v>
      </c>
      <c r="M15" s="24" t="s">
        <v>337</v>
      </c>
      <c r="N15" s="24" t="s">
        <v>117</v>
      </c>
      <c r="O15" s="24" t="s">
        <v>118</v>
      </c>
      <c r="P15" s="24" t="s">
        <v>266</v>
      </c>
      <c r="Q15" s="24" t="s">
        <v>120</v>
      </c>
      <c r="R15" s="24" t="s">
        <v>338</v>
      </c>
      <c r="S15" s="24" t="s">
        <v>339</v>
      </c>
      <c r="T15" s="24" t="s">
        <v>340</v>
      </c>
      <c r="U15" s="24" t="s">
        <v>284</v>
      </c>
      <c r="V15" s="24" t="s">
        <v>341</v>
      </c>
      <c r="W15" s="24" t="s">
        <v>7</v>
      </c>
      <c r="X15" s="24" t="s">
        <v>342</v>
      </c>
      <c r="Y15" s="24" t="s">
        <v>194</v>
      </c>
      <c r="Z15" s="24" t="s">
        <v>287</v>
      </c>
      <c r="AA15" s="24" t="s">
        <v>343</v>
      </c>
      <c r="AB15" s="24" t="s">
        <v>126</v>
      </c>
      <c r="AC15" s="24" t="s">
        <v>7</v>
      </c>
      <c r="AD15" s="24" t="s">
        <v>344</v>
      </c>
      <c r="AE15" s="24" t="s">
        <v>329</v>
      </c>
      <c r="AF15" s="24" t="s">
        <v>345</v>
      </c>
      <c r="AG15" s="24" t="s">
        <v>346</v>
      </c>
      <c r="AH15" s="24" t="s">
        <v>331</v>
      </c>
      <c r="AI15" s="24" t="s">
        <v>292</v>
      </c>
      <c r="AJ15" s="35" t="s">
        <v>347</v>
      </c>
      <c r="AK15" s="24" t="s">
        <v>7</v>
      </c>
      <c r="AL15" s="24" t="s">
        <v>7</v>
      </c>
      <c r="AM15" s="24" t="s">
        <v>7</v>
      </c>
      <c r="AN15" s="24" t="s">
        <v>13</v>
      </c>
      <c r="AO15" s="24" t="s">
        <v>7</v>
      </c>
      <c r="AP15" s="24" t="s">
        <v>7</v>
      </c>
      <c r="AQ15" s="24" t="s">
        <v>7</v>
      </c>
      <c r="AR15" s="24" t="s">
        <v>7</v>
      </c>
      <c r="AS15" s="24" t="s">
        <v>7</v>
      </c>
      <c r="AT15" s="24" t="s">
        <v>7</v>
      </c>
      <c r="AU15" s="24" t="s">
        <v>7</v>
      </c>
      <c r="AV15" s="66" t="s">
        <v>5</v>
      </c>
    </row>
    <row r="16" spans="1:59" s="51" customFormat="1" ht="39.950000000000003" customHeight="1" x14ac:dyDescent="0.3">
      <c r="A16" s="64">
        <v>3</v>
      </c>
      <c r="B16" s="48" t="s">
        <v>34</v>
      </c>
      <c r="C16" s="48" t="s">
        <v>333</v>
      </c>
      <c r="D16" s="24" t="s">
        <v>334</v>
      </c>
      <c r="E16" s="57" t="s">
        <v>275</v>
      </c>
      <c r="F16" s="48" t="s">
        <v>110</v>
      </c>
      <c r="G16" s="48" t="s">
        <v>111</v>
      </c>
      <c r="H16" s="48" t="s">
        <v>112</v>
      </c>
      <c r="I16" s="48" t="s">
        <v>348</v>
      </c>
      <c r="J16" s="50">
        <v>1.4</v>
      </c>
      <c r="K16" s="48" t="s">
        <v>114</v>
      </c>
      <c r="L16" s="48" t="s">
        <v>349</v>
      </c>
      <c r="M16" s="48" t="s">
        <v>116</v>
      </c>
      <c r="N16" s="48" t="s">
        <v>117</v>
      </c>
      <c r="O16" s="48" t="s">
        <v>118</v>
      </c>
      <c r="P16" s="48" t="s">
        <v>266</v>
      </c>
      <c r="Q16" s="48" t="s">
        <v>120</v>
      </c>
      <c r="R16" s="48" t="s">
        <v>338</v>
      </c>
      <c r="S16" s="48" t="s">
        <v>350</v>
      </c>
      <c r="T16" s="48" t="s">
        <v>351</v>
      </c>
      <c r="U16" s="48" t="s">
        <v>284</v>
      </c>
      <c r="V16" s="48" t="s">
        <v>7</v>
      </c>
      <c r="W16" s="48" t="s">
        <v>7</v>
      </c>
      <c r="X16" s="48" t="s">
        <v>352</v>
      </c>
      <c r="Y16" s="48" t="s">
        <v>7</v>
      </c>
      <c r="Z16" s="48" t="s">
        <v>287</v>
      </c>
      <c r="AA16" s="48" t="s">
        <v>7</v>
      </c>
      <c r="AB16" s="48" t="s">
        <v>7</v>
      </c>
      <c r="AC16" s="48" t="s">
        <v>7</v>
      </c>
      <c r="AD16" s="48" t="s">
        <v>7</v>
      </c>
      <c r="AE16" s="48" t="s">
        <v>353</v>
      </c>
      <c r="AF16" s="48" t="s">
        <v>7</v>
      </c>
      <c r="AG16" s="48" t="s">
        <v>354</v>
      </c>
      <c r="AH16" s="48" t="s">
        <v>7</v>
      </c>
      <c r="AI16" s="48" t="s">
        <v>355</v>
      </c>
      <c r="AJ16" s="10" t="s">
        <v>347</v>
      </c>
      <c r="AK16" s="24" t="s">
        <v>7</v>
      </c>
      <c r="AL16" s="24" t="s">
        <v>7</v>
      </c>
      <c r="AM16" s="24" t="s">
        <v>7</v>
      </c>
      <c r="AN16" s="24" t="s">
        <v>13</v>
      </c>
      <c r="AO16" s="24" t="s">
        <v>13</v>
      </c>
      <c r="AP16" s="24" t="s">
        <v>7</v>
      </c>
      <c r="AQ16" s="24" t="s">
        <v>7</v>
      </c>
      <c r="AR16" s="24" t="s">
        <v>7</v>
      </c>
      <c r="AS16" s="24" t="s">
        <v>7</v>
      </c>
      <c r="AT16" s="24" t="s">
        <v>7</v>
      </c>
      <c r="AU16" s="24" t="s">
        <v>7</v>
      </c>
      <c r="AV16" s="66" t="s">
        <v>5</v>
      </c>
      <c r="AW16"/>
      <c r="AX16"/>
      <c r="AY16"/>
      <c r="AZ16"/>
      <c r="BA16"/>
      <c r="BB16"/>
      <c r="BC16"/>
      <c r="BD16"/>
      <c r="BE16"/>
      <c r="BF16"/>
      <c r="BG16"/>
    </row>
    <row r="17" spans="1:59" s="7" customFormat="1" ht="39.950000000000003" customHeight="1" x14ac:dyDescent="0.3">
      <c r="A17" s="65">
        <v>16</v>
      </c>
      <c r="B17" s="24" t="s">
        <v>35</v>
      </c>
      <c r="C17" s="24" t="s">
        <v>356</v>
      </c>
      <c r="D17" s="24" t="s">
        <v>296</v>
      </c>
      <c r="E17" s="57" t="s">
        <v>275</v>
      </c>
      <c r="F17" s="24" t="s">
        <v>182</v>
      </c>
      <c r="G17" s="24" t="s">
        <v>235</v>
      </c>
      <c r="H17" s="24" t="s">
        <v>112</v>
      </c>
      <c r="I17" s="24" t="s">
        <v>357</v>
      </c>
      <c r="J17" s="8">
        <v>1.2</v>
      </c>
      <c r="K17" s="24" t="s">
        <v>114</v>
      </c>
      <c r="L17" s="24" t="s">
        <v>358</v>
      </c>
      <c r="M17" s="24" t="s">
        <v>337</v>
      </c>
      <c r="N17" s="24" t="s">
        <v>117</v>
      </c>
      <c r="O17" s="24" t="s">
        <v>359</v>
      </c>
      <c r="P17" s="24" t="s">
        <v>280</v>
      </c>
      <c r="Q17" s="24" t="s">
        <v>120</v>
      </c>
      <c r="R17" s="24" t="s">
        <v>360</v>
      </c>
      <c r="S17" s="24" t="s">
        <v>361</v>
      </c>
      <c r="T17" s="24" t="s">
        <v>362</v>
      </c>
      <c r="U17" s="24" t="s">
        <v>7</v>
      </c>
      <c r="V17" s="24" t="s">
        <v>7</v>
      </c>
      <c r="W17" s="24" t="s">
        <v>7</v>
      </c>
      <c r="X17" s="24" t="s">
        <v>289</v>
      </c>
      <c r="Y17" s="10" t="s">
        <v>7</v>
      </c>
      <c r="Z17" s="24" t="s">
        <v>287</v>
      </c>
      <c r="AA17" s="24" t="s">
        <v>7</v>
      </c>
      <c r="AB17" s="24" t="s">
        <v>326</v>
      </c>
      <c r="AC17" s="24" t="s">
        <v>7</v>
      </c>
      <c r="AD17" s="24" t="s">
        <v>127</v>
      </c>
      <c r="AE17" s="24" t="s">
        <v>363</v>
      </c>
      <c r="AF17" s="24" t="s">
        <v>7</v>
      </c>
      <c r="AG17" s="24" t="s">
        <v>7</v>
      </c>
      <c r="AH17" s="24" t="s">
        <v>7</v>
      </c>
      <c r="AI17" s="24" t="s">
        <v>364</v>
      </c>
      <c r="AJ17" s="10" t="s">
        <v>365</v>
      </c>
      <c r="AK17" s="24" t="s">
        <v>7</v>
      </c>
      <c r="AL17" s="24" t="s">
        <v>7</v>
      </c>
      <c r="AM17" s="24" t="s">
        <v>7</v>
      </c>
      <c r="AN17" s="24" t="s">
        <v>7</v>
      </c>
      <c r="AO17" s="24" t="s">
        <v>13</v>
      </c>
      <c r="AP17" s="24" t="s">
        <v>7</v>
      </c>
      <c r="AQ17" s="24" t="s">
        <v>7</v>
      </c>
      <c r="AR17" s="24" t="s">
        <v>7</v>
      </c>
      <c r="AS17" s="24" t="s">
        <v>7</v>
      </c>
      <c r="AT17" s="24" t="s">
        <v>7</v>
      </c>
      <c r="AU17" s="24" t="s">
        <v>7</v>
      </c>
      <c r="AV17" s="66" t="s">
        <v>5</v>
      </c>
      <c r="AW17"/>
      <c r="AX17"/>
      <c r="AY17"/>
      <c r="AZ17"/>
      <c r="BA17"/>
      <c r="BB17"/>
      <c r="BC17"/>
      <c r="BD17"/>
      <c r="BE17"/>
      <c r="BF17"/>
      <c r="BG17"/>
    </row>
    <row r="18" spans="1:59" ht="39.950000000000003" customHeight="1" x14ac:dyDescent="0.3">
      <c r="A18" s="64">
        <v>4</v>
      </c>
      <c r="B18" s="48" t="s">
        <v>36</v>
      </c>
      <c r="C18" s="48" t="s">
        <v>204</v>
      </c>
      <c r="D18" s="24" t="s">
        <v>296</v>
      </c>
      <c r="E18" s="57" t="s">
        <v>275</v>
      </c>
      <c r="F18" s="48" t="s">
        <v>110</v>
      </c>
      <c r="G18" s="48" t="s">
        <v>366</v>
      </c>
      <c r="H18" s="48" t="s">
        <v>112</v>
      </c>
      <c r="I18" s="48" t="s">
        <v>367</v>
      </c>
      <c r="J18" s="50">
        <v>1.6</v>
      </c>
      <c r="K18" s="48" t="s">
        <v>114</v>
      </c>
      <c r="L18" s="48" t="s">
        <v>368</v>
      </c>
      <c r="M18" s="48" t="s">
        <v>337</v>
      </c>
      <c r="N18" s="48" t="s">
        <v>117</v>
      </c>
      <c r="O18" s="48" t="s">
        <v>369</v>
      </c>
      <c r="P18" s="48" t="s">
        <v>370</v>
      </c>
      <c r="Q18" s="48" t="s">
        <v>120</v>
      </c>
      <c r="R18" s="48" t="s">
        <v>7</v>
      </c>
      <c r="S18" s="48" t="s">
        <v>371</v>
      </c>
      <c r="T18" s="48" t="s">
        <v>372</v>
      </c>
      <c r="U18" s="48" t="s">
        <v>7</v>
      </c>
      <c r="V18" s="48" t="s">
        <v>7</v>
      </c>
      <c r="W18" s="48" t="s">
        <v>373</v>
      </c>
      <c r="X18" s="48" t="s">
        <v>353</v>
      </c>
      <c r="Y18" s="48" t="s">
        <v>7</v>
      </c>
      <c r="Z18" s="48" t="s">
        <v>125</v>
      </c>
      <c r="AA18" s="48" t="s">
        <v>7</v>
      </c>
      <c r="AB18" s="48" t="s">
        <v>126</v>
      </c>
      <c r="AC18" s="48" t="s">
        <v>7</v>
      </c>
      <c r="AD18" s="48" t="s">
        <v>127</v>
      </c>
      <c r="AE18" s="48" t="s">
        <v>353</v>
      </c>
      <c r="AF18" s="48" t="s">
        <v>374</v>
      </c>
      <c r="AG18" s="48" t="s">
        <v>375</v>
      </c>
      <c r="AH18" s="48" t="s">
        <v>376</v>
      </c>
      <c r="AI18" s="48" t="s">
        <v>377</v>
      </c>
      <c r="AJ18" s="10" t="s">
        <v>378</v>
      </c>
      <c r="AK18" s="24" t="s">
        <v>7</v>
      </c>
      <c r="AL18" s="24" t="s">
        <v>7</v>
      </c>
      <c r="AM18" s="24" t="s">
        <v>7</v>
      </c>
      <c r="AN18" s="24" t="s">
        <v>13</v>
      </c>
      <c r="AO18" s="24" t="s">
        <v>7</v>
      </c>
      <c r="AP18" s="24" t="s">
        <v>7</v>
      </c>
      <c r="AQ18" s="24" t="s">
        <v>7</v>
      </c>
      <c r="AR18" s="24" t="s">
        <v>7</v>
      </c>
      <c r="AS18" s="24" t="s">
        <v>7</v>
      </c>
      <c r="AT18" s="24" t="s">
        <v>7</v>
      </c>
      <c r="AU18" s="24" t="s">
        <v>7</v>
      </c>
      <c r="AV18" s="66" t="s">
        <v>5</v>
      </c>
    </row>
    <row r="19" spans="1:59" ht="43.5" customHeight="1" x14ac:dyDescent="0.3">
      <c r="A19" s="65">
        <v>6</v>
      </c>
      <c r="B19" s="24" t="s">
        <v>37</v>
      </c>
      <c r="C19" s="24" t="s">
        <v>379</v>
      </c>
      <c r="D19" s="24" t="s">
        <v>296</v>
      </c>
      <c r="E19" s="57" t="s">
        <v>275</v>
      </c>
      <c r="F19" s="24" t="s">
        <v>110</v>
      </c>
      <c r="G19" s="24" t="s">
        <v>111</v>
      </c>
      <c r="H19" s="24" t="s">
        <v>112</v>
      </c>
      <c r="I19" s="24" t="s">
        <v>380</v>
      </c>
      <c r="J19" s="8">
        <v>1.3</v>
      </c>
      <c r="K19" s="24" t="s">
        <v>114</v>
      </c>
      <c r="L19" s="24" t="s">
        <v>381</v>
      </c>
      <c r="M19" s="24" t="s">
        <v>337</v>
      </c>
      <c r="N19" s="24" t="s">
        <v>117</v>
      </c>
      <c r="O19" s="24" t="s">
        <v>118</v>
      </c>
      <c r="P19" s="24" t="s">
        <v>266</v>
      </c>
      <c r="Q19" s="24" t="s">
        <v>120</v>
      </c>
      <c r="R19" s="24" t="s">
        <v>382</v>
      </c>
      <c r="S19" s="24" t="s">
        <v>383</v>
      </c>
      <c r="T19" s="24" t="s">
        <v>384</v>
      </c>
      <c r="U19" s="24" t="s">
        <v>7</v>
      </c>
      <c r="V19" s="24" t="s">
        <v>385</v>
      </c>
      <c r="W19" s="24" t="s">
        <v>386</v>
      </c>
      <c r="X19" s="24" t="s">
        <v>342</v>
      </c>
      <c r="Y19" s="24" t="s">
        <v>194</v>
      </c>
      <c r="Z19" s="24" t="s">
        <v>287</v>
      </c>
      <c r="AA19" s="24" t="s">
        <v>387</v>
      </c>
      <c r="AB19" s="24" t="s">
        <v>126</v>
      </c>
      <c r="AC19" s="24" t="s">
        <v>388</v>
      </c>
      <c r="AD19" s="24" t="s">
        <v>389</v>
      </c>
      <c r="AE19" s="24" t="s">
        <v>353</v>
      </c>
      <c r="AF19" s="24" t="s">
        <v>345</v>
      </c>
      <c r="AG19" s="24" t="s">
        <v>390</v>
      </c>
      <c r="AH19" s="24" t="s">
        <v>391</v>
      </c>
      <c r="AI19" s="24" t="s">
        <v>292</v>
      </c>
      <c r="AJ19" s="16" t="s">
        <v>392</v>
      </c>
      <c r="AK19" s="24" t="s">
        <v>7</v>
      </c>
      <c r="AL19" s="24" t="s">
        <v>7</v>
      </c>
      <c r="AM19" s="24" t="s">
        <v>7</v>
      </c>
      <c r="AN19" s="24" t="s">
        <v>13</v>
      </c>
      <c r="AO19" s="24" t="s">
        <v>7</v>
      </c>
      <c r="AP19" s="24" t="s">
        <v>7</v>
      </c>
      <c r="AQ19" s="24" t="s">
        <v>7</v>
      </c>
      <c r="AR19" s="24" t="s">
        <v>7</v>
      </c>
      <c r="AS19" s="24" t="s">
        <v>7</v>
      </c>
      <c r="AT19" s="24" t="s">
        <v>13</v>
      </c>
      <c r="AU19" s="24" t="s">
        <v>7</v>
      </c>
      <c r="AV19" s="66" t="s">
        <v>5</v>
      </c>
    </row>
    <row r="20" spans="1:59" ht="48.75" customHeight="1" x14ac:dyDescent="0.3">
      <c r="A20" s="65">
        <v>7</v>
      </c>
      <c r="B20" s="24" t="s">
        <v>38</v>
      </c>
      <c r="C20" s="24" t="s">
        <v>393</v>
      </c>
      <c r="D20" s="24" t="s">
        <v>296</v>
      </c>
      <c r="E20" s="57" t="s">
        <v>275</v>
      </c>
      <c r="F20" s="24" t="s">
        <v>110</v>
      </c>
      <c r="G20" s="24" t="s">
        <v>111</v>
      </c>
      <c r="H20" s="24" t="s">
        <v>112</v>
      </c>
      <c r="I20" s="24" t="s">
        <v>394</v>
      </c>
      <c r="J20" s="8">
        <v>0.7</v>
      </c>
      <c r="K20" s="24" t="s">
        <v>114</v>
      </c>
      <c r="L20" s="24" t="s">
        <v>395</v>
      </c>
      <c r="M20" s="24" t="s">
        <v>116</v>
      </c>
      <c r="N20" s="24" t="s">
        <v>117</v>
      </c>
      <c r="O20" s="24" t="s">
        <v>118</v>
      </c>
      <c r="P20" s="24" t="s">
        <v>119</v>
      </c>
      <c r="Q20" s="24" t="s">
        <v>120</v>
      </c>
      <c r="R20" s="24" t="s">
        <v>396</v>
      </c>
      <c r="S20" s="24" t="s">
        <v>397</v>
      </c>
      <c r="T20" s="24" t="s">
        <v>398</v>
      </c>
      <c r="U20" s="24" t="s">
        <v>7</v>
      </c>
      <c r="V20" s="24" t="s">
        <v>399</v>
      </c>
      <c r="W20" s="24" t="s">
        <v>386</v>
      </c>
      <c r="X20" s="34" t="s">
        <v>400</v>
      </c>
      <c r="Y20" s="24" t="s">
        <v>325</v>
      </c>
      <c r="Z20" s="24" t="s">
        <v>125</v>
      </c>
      <c r="AA20" s="24" t="s">
        <v>7</v>
      </c>
      <c r="AB20" s="24" t="s">
        <v>401</v>
      </c>
      <c r="AC20" s="24" t="s">
        <v>402</v>
      </c>
      <c r="AD20" s="24" t="s">
        <v>403</v>
      </c>
      <c r="AE20" s="24" t="s">
        <v>128</v>
      </c>
      <c r="AF20" s="24" t="s">
        <v>404</v>
      </c>
      <c r="AG20" s="24" t="s">
        <v>405</v>
      </c>
      <c r="AH20" s="24" t="s">
        <v>331</v>
      </c>
      <c r="AI20" s="24" t="s">
        <v>132</v>
      </c>
      <c r="AJ20" s="58" t="s">
        <v>293</v>
      </c>
      <c r="AK20" s="24" t="s">
        <v>7</v>
      </c>
      <c r="AL20" s="24" t="s">
        <v>7</v>
      </c>
      <c r="AM20" s="24" t="s">
        <v>7</v>
      </c>
      <c r="AN20" s="24" t="s">
        <v>13</v>
      </c>
      <c r="AO20" s="24" t="s">
        <v>7</v>
      </c>
      <c r="AP20" s="24" t="s">
        <v>7</v>
      </c>
      <c r="AQ20" s="24" t="s">
        <v>7</v>
      </c>
      <c r="AR20" s="24" t="s">
        <v>7</v>
      </c>
      <c r="AS20" s="24" t="s">
        <v>7</v>
      </c>
      <c r="AT20" s="24" t="s">
        <v>7</v>
      </c>
      <c r="AU20" s="24" t="s">
        <v>7</v>
      </c>
      <c r="AV20" s="66" t="s">
        <v>5</v>
      </c>
    </row>
    <row r="21" spans="1:59" ht="49.5" customHeight="1" x14ac:dyDescent="0.3">
      <c r="A21" s="65">
        <v>8</v>
      </c>
      <c r="B21" s="24" t="s">
        <v>39</v>
      </c>
      <c r="C21" s="24" t="s">
        <v>406</v>
      </c>
      <c r="D21" s="24" t="s">
        <v>296</v>
      </c>
      <c r="E21" s="57" t="s">
        <v>275</v>
      </c>
      <c r="F21" s="24" t="s">
        <v>110</v>
      </c>
      <c r="G21" s="24" t="s">
        <v>111</v>
      </c>
      <c r="H21" s="24" t="s">
        <v>112</v>
      </c>
      <c r="I21" s="24" t="s">
        <v>113</v>
      </c>
      <c r="J21" s="8">
        <v>0.7</v>
      </c>
      <c r="K21" s="24" t="s">
        <v>407</v>
      </c>
      <c r="L21" s="24" t="s">
        <v>408</v>
      </c>
      <c r="M21" s="24" t="s">
        <v>409</v>
      </c>
      <c r="N21" s="24" t="s">
        <v>117</v>
      </c>
      <c r="O21" s="24" t="s">
        <v>118</v>
      </c>
      <c r="P21" s="24" t="s">
        <v>119</v>
      </c>
      <c r="Q21" s="24" t="s">
        <v>120</v>
      </c>
      <c r="R21" s="24" t="s">
        <v>410</v>
      </c>
      <c r="S21" s="24" t="s">
        <v>411</v>
      </c>
      <c r="T21" s="24" t="s">
        <v>412</v>
      </c>
      <c r="U21" s="24" t="s">
        <v>413</v>
      </c>
      <c r="V21" s="24" t="s">
        <v>414</v>
      </c>
      <c r="W21" s="24" t="s">
        <v>415</v>
      </c>
      <c r="X21" s="24" t="s">
        <v>416</v>
      </c>
      <c r="Y21" s="24" t="s">
        <v>417</v>
      </c>
      <c r="Z21" s="24" t="s">
        <v>125</v>
      </c>
      <c r="AA21" s="24" t="s">
        <v>418</v>
      </c>
      <c r="AB21" s="24" t="s">
        <v>401</v>
      </c>
      <c r="AC21" s="24" t="s">
        <v>419</v>
      </c>
      <c r="AD21" s="24" t="s">
        <v>403</v>
      </c>
      <c r="AE21" s="24" t="s">
        <v>128</v>
      </c>
      <c r="AF21" s="24" t="s">
        <v>420</v>
      </c>
      <c r="AG21" s="24" t="s">
        <v>421</v>
      </c>
      <c r="AH21" s="24" t="s">
        <v>422</v>
      </c>
      <c r="AI21" s="24" t="s">
        <v>132</v>
      </c>
      <c r="AJ21" s="58" t="s">
        <v>332</v>
      </c>
      <c r="AK21" s="24" t="s">
        <v>7</v>
      </c>
      <c r="AL21" s="24" t="s">
        <v>7</v>
      </c>
      <c r="AM21" s="24" t="s">
        <v>7</v>
      </c>
      <c r="AN21" s="24" t="s">
        <v>13</v>
      </c>
      <c r="AO21" s="24" t="s">
        <v>7</v>
      </c>
      <c r="AP21" s="24" t="s">
        <v>7</v>
      </c>
      <c r="AQ21" s="24" t="s">
        <v>7</v>
      </c>
      <c r="AR21" s="24" t="s">
        <v>7</v>
      </c>
      <c r="AS21" s="24" t="s">
        <v>7</v>
      </c>
      <c r="AT21" s="24" t="s">
        <v>7</v>
      </c>
      <c r="AU21" s="24" t="s">
        <v>7</v>
      </c>
      <c r="AV21" s="66" t="s">
        <v>5</v>
      </c>
    </row>
    <row r="22" spans="1:59" s="51" customFormat="1" ht="27.75" customHeight="1" x14ac:dyDescent="0.3">
      <c r="A22" s="65">
        <v>9</v>
      </c>
      <c r="B22" s="24" t="s">
        <v>40</v>
      </c>
      <c r="C22" s="24" t="s">
        <v>406</v>
      </c>
      <c r="D22" s="57" t="s">
        <v>334</v>
      </c>
      <c r="E22" s="57" t="s">
        <v>109</v>
      </c>
      <c r="F22" s="24" t="s">
        <v>110</v>
      </c>
      <c r="G22" s="24" t="s">
        <v>111</v>
      </c>
      <c r="H22" s="24" t="s">
        <v>112</v>
      </c>
      <c r="I22" s="24" t="s">
        <v>423</v>
      </c>
      <c r="J22" s="8">
        <v>1.3</v>
      </c>
      <c r="K22" s="24" t="s">
        <v>407</v>
      </c>
      <c r="L22" s="24" t="s">
        <v>424</v>
      </c>
      <c r="M22" s="24" t="s">
        <v>116</v>
      </c>
      <c r="N22" s="24" t="s">
        <v>117</v>
      </c>
      <c r="O22" s="24" t="s">
        <v>118</v>
      </c>
      <c r="P22" s="24" t="s">
        <v>119</v>
      </c>
      <c r="Q22" s="24" t="s">
        <v>120</v>
      </c>
      <c r="R22" s="24" t="s">
        <v>411</v>
      </c>
      <c r="S22" s="24" t="s">
        <v>425</v>
      </c>
      <c r="T22" s="24" t="s">
        <v>426</v>
      </c>
      <c r="U22" s="24" t="s">
        <v>413</v>
      </c>
      <c r="V22" s="24" t="s">
        <v>427</v>
      </c>
      <c r="W22" s="24" t="s">
        <v>415</v>
      </c>
      <c r="X22" s="24" t="s">
        <v>428</v>
      </c>
      <c r="Y22" s="24" t="s">
        <v>417</v>
      </c>
      <c r="Z22" s="24" t="s">
        <v>125</v>
      </c>
      <c r="AA22" s="24" t="s">
        <v>429</v>
      </c>
      <c r="AB22" s="24" t="s">
        <v>401</v>
      </c>
      <c r="AC22" s="24" t="s">
        <v>430</v>
      </c>
      <c r="AD22" s="24" t="s">
        <v>403</v>
      </c>
      <c r="AE22" s="24" t="s">
        <v>128</v>
      </c>
      <c r="AF22" s="24" t="s">
        <v>420</v>
      </c>
      <c r="AG22" s="24" t="s">
        <v>421</v>
      </c>
      <c r="AH22" s="24" t="s">
        <v>431</v>
      </c>
      <c r="AI22" s="24" t="s">
        <v>132</v>
      </c>
      <c r="AJ22" s="59" t="s">
        <v>432</v>
      </c>
      <c r="AK22" s="57" t="s">
        <v>7</v>
      </c>
      <c r="AL22" s="57" t="s">
        <v>7</v>
      </c>
      <c r="AM22" s="57" t="s">
        <v>7</v>
      </c>
      <c r="AN22" s="24" t="s">
        <v>13</v>
      </c>
      <c r="AO22" s="57" t="s">
        <v>7</v>
      </c>
      <c r="AP22" s="57" t="s">
        <v>7</v>
      </c>
      <c r="AQ22" s="57" t="s">
        <v>7</v>
      </c>
      <c r="AR22" s="57" t="s">
        <v>7</v>
      </c>
      <c r="AS22" s="57" t="s">
        <v>7</v>
      </c>
      <c r="AT22" s="57" t="s">
        <v>7</v>
      </c>
      <c r="AU22" s="57" t="s">
        <v>7</v>
      </c>
      <c r="AV22" s="66" t="s">
        <v>5</v>
      </c>
      <c r="AW22"/>
      <c r="AX22"/>
      <c r="AY22"/>
      <c r="AZ22"/>
      <c r="BA22"/>
      <c r="BB22"/>
      <c r="BC22" s="63"/>
      <c r="BD22"/>
      <c r="BE22"/>
      <c r="BF22"/>
      <c r="BG22"/>
    </row>
    <row r="23" spans="1:59" ht="39.75" customHeight="1" x14ac:dyDescent="0.3">
      <c r="A23" s="64">
        <v>10</v>
      </c>
      <c r="B23" s="48" t="s">
        <v>41</v>
      </c>
      <c r="C23" s="48" t="s">
        <v>433</v>
      </c>
      <c r="D23" s="24" t="s">
        <v>434</v>
      </c>
      <c r="E23" s="57" t="s">
        <v>275</v>
      </c>
      <c r="F23" s="48" t="s">
        <v>182</v>
      </c>
      <c r="G23" s="48" t="s">
        <v>111</v>
      </c>
      <c r="H23" s="48" t="s">
        <v>164</v>
      </c>
      <c r="I23" s="48" t="s">
        <v>435</v>
      </c>
      <c r="J23" s="50">
        <v>0.49</v>
      </c>
      <c r="K23" s="48" t="s">
        <v>114</v>
      </c>
      <c r="L23" s="48" t="s">
        <v>436</v>
      </c>
      <c r="M23" s="48" t="s">
        <v>116</v>
      </c>
      <c r="N23" s="48" t="s">
        <v>117</v>
      </c>
      <c r="O23" s="48" t="s">
        <v>187</v>
      </c>
      <c r="P23" s="48" t="s">
        <v>280</v>
      </c>
      <c r="Q23" s="48" t="s">
        <v>120</v>
      </c>
      <c r="R23" s="48" t="s">
        <v>437</v>
      </c>
      <c r="S23" s="48" t="s">
        <v>438</v>
      </c>
      <c r="T23" s="48" t="s">
        <v>439</v>
      </c>
      <c r="U23" s="48" t="s">
        <v>413</v>
      </c>
      <c r="V23" s="48" t="s">
        <v>440</v>
      </c>
      <c r="W23" s="48" t="s">
        <v>441</v>
      </c>
      <c r="X23" s="48" t="s">
        <v>442</v>
      </c>
      <c r="Y23" s="48" t="s">
        <v>443</v>
      </c>
      <c r="Z23" s="48" t="s">
        <v>444</v>
      </c>
      <c r="AA23" s="48" t="s">
        <v>445</v>
      </c>
      <c r="AB23" s="48" t="s">
        <v>7</v>
      </c>
      <c r="AC23" s="48" t="s">
        <v>446</v>
      </c>
      <c r="AD23" s="48" t="s">
        <v>447</v>
      </c>
      <c r="AE23" s="48" t="s">
        <v>448</v>
      </c>
      <c r="AF23" s="48" t="s">
        <v>449</v>
      </c>
      <c r="AG23" s="48" t="s">
        <v>7</v>
      </c>
      <c r="AH23" s="48" t="s">
        <v>450</v>
      </c>
      <c r="AI23" s="48" t="s">
        <v>7</v>
      </c>
      <c r="AJ23" s="10" t="s">
        <v>451</v>
      </c>
      <c r="AK23" s="24" t="s">
        <v>7</v>
      </c>
      <c r="AL23" s="24" t="s">
        <v>7</v>
      </c>
      <c r="AM23" s="24" t="s">
        <v>7</v>
      </c>
      <c r="AN23" s="24" t="s">
        <v>13</v>
      </c>
      <c r="AO23" s="24" t="s">
        <v>13</v>
      </c>
      <c r="AP23" s="24" t="s">
        <v>7</v>
      </c>
      <c r="AQ23" s="24" t="s">
        <v>7</v>
      </c>
      <c r="AR23" s="24" t="s">
        <v>7</v>
      </c>
      <c r="AS23" s="24" t="s">
        <v>7</v>
      </c>
      <c r="AT23" s="24" t="s">
        <v>13</v>
      </c>
      <c r="AU23" s="24" t="s">
        <v>7</v>
      </c>
      <c r="AV23" s="66" t="s">
        <v>5</v>
      </c>
    </row>
    <row r="24" spans="1:59" ht="38.25" customHeight="1" x14ac:dyDescent="0.3">
      <c r="A24" s="64">
        <v>11</v>
      </c>
      <c r="B24" s="48" t="s">
        <v>42</v>
      </c>
      <c r="C24" s="48" t="s">
        <v>452</v>
      </c>
      <c r="D24" s="24" t="s">
        <v>296</v>
      </c>
      <c r="E24" s="57" t="s">
        <v>275</v>
      </c>
      <c r="F24" s="48" t="s">
        <v>182</v>
      </c>
      <c r="G24" s="48" t="s">
        <v>183</v>
      </c>
      <c r="H24" s="48" t="s">
        <v>112</v>
      </c>
      <c r="I24" s="48" t="s">
        <v>174</v>
      </c>
      <c r="J24" s="50">
        <v>0.8</v>
      </c>
      <c r="K24" s="48" t="s">
        <v>114</v>
      </c>
      <c r="L24" s="48" t="s">
        <v>453</v>
      </c>
      <c r="M24" s="48" t="s">
        <v>116</v>
      </c>
      <c r="N24" s="48" t="s">
        <v>454</v>
      </c>
      <c r="O24" s="48" t="s">
        <v>455</v>
      </c>
      <c r="P24" s="48" t="s">
        <v>456</v>
      </c>
      <c r="Q24" s="48" t="s">
        <v>120</v>
      </c>
      <c r="R24" s="48" t="s">
        <v>457</v>
      </c>
      <c r="S24" s="48" t="s">
        <v>458</v>
      </c>
      <c r="T24" s="48" t="s">
        <v>459</v>
      </c>
      <c r="U24" s="48" t="s">
        <v>7</v>
      </c>
      <c r="V24" s="48" t="s">
        <v>7</v>
      </c>
      <c r="W24" s="48" t="s">
        <v>7</v>
      </c>
      <c r="X24" s="48" t="s">
        <v>460</v>
      </c>
      <c r="Y24" s="48" t="s">
        <v>7</v>
      </c>
      <c r="Z24" s="48" t="s">
        <v>287</v>
      </c>
      <c r="AA24" s="48" t="s">
        <v>7</v>
      </c>
      <c r="AB24" s="48" t="s">
        <v>461</v>
      </c>
      <c r="AC24" s="48" t="s">
        <v>7</v>
      </c>
      <c r="AD24" s="48" t="s">
        <v>7</v>
      </c>
      <c r="AE24" s="48" t="s">
        <v>7</v>
      </c>
      <c r="AF24" s="48" t="s">
        <v>7</v>
      </c>
      <c r="AG24" s="48" t="s">
        <v>7</v>
      </c>
      <c r="AH24" s="48" t="s">
        <v>131</v>
      </c>
      <c r="AI24" s="48" t="s">
        <v>7</v>
      </c>
      <c r="AJ24" s="10" t="s">
        <v>392</v>
      </c>
      <c r="AK24" s="24" t="s">
        <v>7</v>
      </c>
      <c r="AL24" s="24" t="s">
        <v>7</v>
      </c>
      <c r="AM24" s="24" t="s">
        <v>7</v>
      </c>
      <c r="AN24" s="24" t="s">
        <v>13</v>
      </c>
      <c r="AO24" s="24" t="s">
        <v>7</v>
      </c>
      <c r="AP24" s="24" t="s">
        <v>7</v>
      </c>
      <c r="AQ24" s="24" t="s">
        <v>7</v>
      </c>
      <c r="AR24" s="24" t="s">
        <v>7</v>
      </c>
      <c r="AS24" s="24" t="s">
        <v>7</v>
      </c>
      <c r="AT24" s="24" t="s">
        <v>7</v>
      </c>
      <c r="AU24" s="24" t="s">
        <v>7</v>
      </c>
      <c r="AV24" s="66" t="s">
        <v>5</v>
      </c>
    </row>
    <row r="25" spans="1:59" ht="51" customHeight="1" x14ac:dyDescent="0.3">
      <c r="A25" s="65">
        <v>14</v>
      </c>
      <c r="B25" s="24" t="s">
        <v>43</v>
      </c>
      <c r="C25" s="38" t="s">
        <v>462</v>
      </c>
      <c r="D25" s="24" t="s">
        <v>334</v>
      </c>
      <c r="E25" s="57" t="s">
        <v>275</v>
      </c>
      <c r="F25" s="24" t="s">
        <v>110</v>
      </c>
      <c r="G25" s="24" t="s">
        <v>111</v>
      </c>
      <c r="H25" s="24" t="s">
        <v>112</v>
      </c>
      <c r="I25" s="38" t="s">
        <v>463</v>
      </c>
      <c r="J25" s="8">
        <v>0.73</v>
      </c>
      <c r="K25" s="24" t="s">
        <v>114</v>
      </c>
      <c r="L25" s="24" t="s">
        <v>464</v>
      </c>
      <c r="M25" s="24" t="s">
        <v>116</v>
      </c>
      <c r="N25" s="24" t="s">
        <v>225</v>
      </c>
      <c r="O25" s="24" t="s">
        <v>465</v>
      </c>
      <c r="P25" s="24" t="s">
        <v>466</v>
      </c>
      <c r="Q25" s="24" t="s">
        <v>120</v>
      </c>
      <c r="R25" s="24" t="s">
        <v>467</v>
      </c>
      <c r="S25" s="24" t="s">
        <v>468</v>
      </c>
      <c r="T25" s="24" t="s">
        <v>469</v>
      </c>
      <c r="U25" s="24" t="s">
        <v>7</v>
      </c>
      <c r="V25" s="24" t="s">
        <v>7</v>
      </c>
      <c r="W25" s="24" t="s">
        <v>312</v>
      </c>
      <c r="X25" s="24" t="s">
        <v>7</v>
      </c>
      <c r="Y25" s="24" t="s">
        <v>7</v>
      </c>
      <c r="Z25" s="24" t="s">
        <v>125</v>
      </c>
      <c r="AA25" s="24" t="s">
        <v>470</v>
      </c>
      <c r="AB25" s="24" t="s">
        <v>471</v>
      </c>
      <c r="AC25" s="24" t="s">
        <v>7</v>
      </c>
      <c r="AD25" s="24" t="s">
        <v>7</v>
      </c>
      <c r="AE25" s="24" t="s">
        <v>472</v>
      </c>
      <c r="AF25" s="24" t="s">
        <v>374</v>
      </c>
      <c r="AG25" s="24" t="s">
        <v>7</v>
      </c>
      <c r="AH25" s="24" t="s">
        <v>131</v>
      </c>
      <c r="AI25" s="24" t="s">
        <v>473</v>
      </c>
      <c r="AJ25" s="10" t="s">
        <v>432</v>
      </c>
      <c r="AK25" s="24" t="s">
        <v>7</v>
      </c>
      <c r="AL25" s="24" t="s">
        <v>7</v>
      </c>
      <c r="AM25" s="24" t="s">
        <v>7</v>
      </c>
      <c r="AN25" s="24" t="s">
        <v>13</v>
      </c>
      <c r="AO25" s="24" t="s">
        <v>7</v>
      </c>
      <c r="AP25" s="24" t="s">
        <v>7</v>
      </c>
      <c r="AQ25" s="24" t="s">
        <v>7</v>
      </c>
      <c r="AR25" s="24" t="s">
        <v>7</v>
      </c>
      <c r="AS25" s="24" t="s">
        <v>7</v>
      </c>
      <c r="AT25" s="24" t="s">
        <v>7</v>
      </c>
      <c r="AU25" s="24" t="s">
        <v>7</v>
      </c>
      <c r="AV25" s="66" t="s">
        <v>5</v>
      </c>
    </row>
    <row r="26" spans="1:59" ht="69" x14ac:dyDescent="0.3">
      <c r="A26" s="65">
        <v>18</v>
      </c>
      <c r="B26" s="24" t="s">
        <v>44</v>
      </c>
      <c r="C26" s="24" t="s">
        <v>474</v>
      </c>
      <c r="D26" s="56" t="s">
        <v>475</v>
      </c>
      <c r="E26" s="24" t="s">
        <v>476</v>
      </c>
      <c r="F26" s="24" t="s">
        <v>110</v>
      </c>
      <c r="G26" s="24" t="s">
        <v>111</v>
      </c>
      <c r="H26" s="24" t="s">
        <v>112</v>
      </c>
      <c r="I26" s="24" t="s">
        <v>477</v>
      </c>
      <c r="J26" s="8">
        <v>3.4</v>
      </c>
      <c r="K26" s="24" t="s">
        <v>478</v>
      </c>
      <c r="L26" s="24" t="s">
        <v>479</v>
      </c>
      <c r="M26" s="24" t="s">
        <v>480</v>
      </c>
      <c r="N26" s="24" t="s">
        <v>117</v>
      </c>
      <c r="O26" s="24" t="s">
        <v>481</v>
      </c>
      <c r="P26" s="24" t="s">
        <v>239</v>
      </c>
      <c r="Q26" s="24" t="s">
        <v>120</v>
      </c>
      <c r="R26" s="24" t="s">
        <v>482</v>
      </c>
      <c r="S26" s="24" t="s">
        <v>483</v>
      </c>
      <c r="T26" s="24" t="s">
        <v>484</v>
      </c>
      <c r="U26" s="24" t="s">
        <v>485</v>
      </c>
      <c r="V26" s="24" t="s">
        <v>486</v>
      </c>
      <c r="W26" s="24" t="s">
        <v>487</v>
      </c>
      <c r="X26" s="34" t="s">
        <v>488</v>
      </c>
      <c r="Y26" s="24" t="s">
        <v>489</v>
      </c>
      <c r="Z26" s="24" t="s">
        <v>195</v>
      </c>
      <c r="AA26" s="24" t="s">
        <v>490</v>
      </c>
      <c r="AB26" s="24" t="s">
        <v>126</v>
      </c>
      <c r="AC26" s="24" t="s">
        <v>491</v>
      </c>
      <c r="AD26" s="24" t="s">
        <v>492</v>
      </c>
      <c r="AE26" s="24" t="s">
        <v>493</v>
      </c>
      <c r="AF26" s="24" t="s">
        <v>420</v>
      </c>
      <c r="AG26" s="24" t="s">
        <v>494</v>
      </c>
      <c r="AH26" s="24" t="s">
        <v>495</v>
      </c>
      <c r="AI26" s="24" t="s">
        <v>496</v>
      </c>
      <c r="AJ26" s="16" t="s">
        <v>1007</v>
      </c>
      <c r="AK26" s="56" t="s">
        <v>7</v>
      </c>
      <c r="AL26" s="56" t="s">
        <v>7</v>
      </c>
      <c r="AM26" s="56" t="s">
        <v>7</v>
      </c>
      <c r="AN26" s="56" t="s">
        <v>13</v>
      </c>
      <c r="AO26" s="56" t="s">
        <v>13</v>
      </c>
      <c r="AP26" s="56" t="s">
        <v>498</v>
      </c>
      <c r="AQ26" s="56" t="s">
        <v>13</v>
      </c>
      <c r="AR26" s="56" t="s">
        <v>7</v>
      </c>
      <c r="AS26" s="56" t="s">
        <v>7</v>
      </c>
      <c r="AT26" s="56" t="s">
        <v>13</v>
      </c>
      <c r="AU26" s="56" t="s">
        <v>7</v>
      </c>
      <c r="AV26" s="66" t="s">
        <v>21</v>
      </c>
    </row>
    <row r="27" spans="1:59" ht="51.75" x14ac:dyDescent="0.3">
      <c r="A27" s="65">
        <v>19</v>
      </c>
      <c r="B27" s="24" t="s">
        <v>45</v>
      </c>
      <c r="C27" s="24" t="s">
        <v>474</v>
      </c>
      <c r="D27" s="56" t="s">
        <v>135</v>
      </c>
      <c r="E27" s="24" t="s">
        <v>136</v>
      </c>
      <c r="F27" s="24" t="s">
        <v>110</v>
      </c>
      <c r="G27" s="24" t="s">
        <v>499</v>
      </c>
      <c r="H27" s="24" t="s">
        <v>112</v>
      </c>
      <c r="I27" s="24" t="s">
        <v>500</v>
      </c>
      <c r="J27" s="8">
        <v>0.54</v>
      </c>
      <c r="K27" s="24" t="s">
        <v>501</v>
      </c>
      <c r="L27" s="24" t="s">
        <v>502</v>
      </c>
      <c r="M27" s="24" t="s">
        <v>503</v>
      </c>
      <c r="N27" s="24" t="s">
        <v>117</v>
      </c>
      <c r="O27" s="24" t="s">
        <v>187</v>
      </c>
      <c r="P27" s="24" t="s">
        <v>239</v>
      </c>
      <c r="Q27" s="24" t="s">
        <v>120</v>
      </c>
      <c r="R27" s="24" t="s">
        <v>504</v>
      </c>
      <c r="S27" s="24" t="s">
        <v>505</v>
      </c>
      <c r="T27" s="24" t="s">
        <v>506</v>
      </c>
      <c r="U27" s="24" t="s">
        <v>507</v>
      </c>
      <c r="V27" s="24" t="s">
        <v>508</v>
      </c>
      <c r="W27" s="24" t="s">
        <v>509</v>
      </c>
      <c r="X27" s="34" t="s">
        <v>400</v>
      </c>
      <c r="Y27" s="24" t="s">
        <v>325</v>
      </c>
      <c r="Z27" s="24" t="s">
        <v>195</v>
      </c>
      <c r="AA27" s="24" t="s">
        <v>510</v>
      </c>
      <c r="AB27" s="24" t="s">
        <v>511</v>
      </c>
      <c r="AC27" s="24" t="s">
        <v>512</v>
      </c>
      <c r="AD27" s="24" t="s">
        <v>7</v>
      </c>
      <c r="AE27" s="24" t="s">
        <v>216</v>
      </c>
      <c r="AF27" s="24" t="s">
        <v>513</v>
      </c>
      <c r="AG27" s="24" t="s">
        <v>514</v>
      </c>
      <c r="AH27" s="24" t="s">
        <v>515</v>
      </c>
      <c r="AI27" s="24" t="s">
        <v>516</v>
      </c>
      <c r="AJ27" s="35" t="s">
        <v>517</v>
      </c>
      <c r="AK27" s="56" t="s">
        <v>7</v>
      </c>
      <c r="AL27" s="56" t="s">
        <v>7</v>
      </c>
      <c r="AM27" s="56" t="s">
        <v>7</v>
      </c>
      <c r="AN27" s="56" t="s">
        <v>13</v>
      </c>
      <c r="AO27" s="56" t="s">
        <v>7</v>
      </c>
      <c r="AP27" s="56" t="s">
        <v>7</v>
      </c>
      <c r="AQ27" s="56" t="s">
        <v>13</v>
      </c>
      <c r="AR27" s="56" t="s">
        <v>7</v>
      </c>
      <c r="AS27" s="56" t="s">
        <v>7</v>
      </c>
      <c r="AT27" s="56" t="s">
        <v>13</v>
      </c>
      <c r="AU27" s="56" t="s">
        <v>7</v>
      </c>
      <c r="AV27" s="66" t="s">
        <v>21</v>
      </c>
    </row>
    <row r="28" spans="1:59" ht="51.75" x14ac:dyDescent="0.3">
      <c r="A28" s="65">
        <v>20</v>
      </c>
      <c r="B28" s="24" t="s">
        <v>46</v>
      </c>
      <c r="C28" s="24" t="s">
        <v>518</v>
      </c>
      <c r="D28" s="56" t="s">
        <v>135</v>
      </c>
      <c r="E28" s="24" t="s">
        <v>136</v>
      </c>
      <c r="F28" s="24" t="s">
        <v>182</v>
      </c>
      <c r="G28" s="24" t="s">
        <v>111</v>
      </c>
      <c r="H28" s="24" t="s">
        <v>112</v>
      </c>
      <c r="I28" s="24" t="s">
        <v>519</v>
      </c>
      <c r="J28" s="8">
        <v>3.9</v>
      </c>
      <c r="K28" s="24" t="s">
        <v>520</v>
      </c>
      <c r="L28" s="24" t="s">
        <v>521</v>
      </c>
      <c r="M28" s="24" t="s">
        <v>116</v>
      </c>
      <c r="N28" s="24" t="s">
        <v>117</v>
      </c>
      <c r="O28" s="24" t="s">
        <v>141</v>
      </c>
      <c r="P28" s="24" t="s">
        <v>522</v>
      </c>
      <c r="Q28" s="24" t="s">
        <v>523</v>
      </c>
      <c r="R28" s="24" t="s">
        <v>524</v>
      </c>
      <c r="S28" s="24" t="s">
        <v>525</v>
      </c>
      <c r="T28" s="24" t="s">
        <v>526</v>
      </c>
      <c r="U28" s="24" t="s">
        <v>7</v>
      </c>
      <c r="V28" s="24" t="s">
        <v>527</v>
      </c>
      <c r="W28" s="24" t="s">
        <v>528</v>
      </c>
      <c r="X28" s="34" t="s">
        <v>529</v>
      </c>
      <c r="Y28" s="24" t="s">
        <v>7</v>
      </c>
      <c r="Z28" s="24" t="s">
        <v>195</v>
      </c>
      <c r="AA28" s="24" t="s">
        <v>7</v>
      </c>
      <c r="AB28" s="24" t="s">
        <v>7</v>
      </c>
      <c r="AC28" s="24" t="s">
        <v>7</v>
      </c>
      <c r="AD28" s="24" t="s">
        <v>530</v>
      </c>
      <c r="AE28" s="24" t="s">
        <v>216</v>
      </c>
      <c r="AF28" s="10" t="s">
        <v>531</v>
      </c>
      <c r="AG28" s="24" t="s">
        <v>200</v>
      </c>
      <c r="AH28" s="24" t="s">
        <v>233</v>
      </c>
      <c r="AI28" s="24" t="s">
        <v>532</v>
      </c>
      <c r="AJ28" s="35" t="s">
        <v>533</v>
      </c>
      <c r="AK28" s="56" t="s">
        <v>7</v>
      </c>
      <c r="AL28" s="56" t="s">
        <v>7</v>
      </c>
      <c r="AM28" s="56" t="s">
        <v>7</v>
      </c>
      <c r="AN28" s="56" t="s">
        <v>13</v>
      </c>
      <c r="AO28" s="56" t="s">
        <v>7</v>
      </c>
      <c r="AP28" s="56" t="s">
        <v>7</v>
      </c>
      <c r="AQ28" s="56" t="s">
        <v>13</v>
      </c>
      <c r="AR28" s="56" t="s">
        <v>7</v>
      </c>
      <c r="AS28" s="56" t="s">
        <v>7</v>
      </c>
      <c r="AT28" s="56" t="s">
        <v>13</v>
      </c>
      <c r="AU28" s="56" t="s">
        <v>7</v>
      </c>
      <c r="AV28" s="66" t="s">
        <v>21</v>
      </c>
    </row>
    <row r="29" spans="1:59" s="51" customFormat="1" ht="51.75" x14ac:dyDescent="0.3">
      <c r="A29" s="64">
        <v>21</v>
      </c>
      <c r="B29" s="48" t="s">
        <v>47</v>
      </c>
      <c r="C29" s="48" t="s">
        <v>518</v>
      </c>
      <c r="D29" s="56" t="s">
        <v>135</v>
      </c>
      <c r="E29" s="48" t="s">
        <v>136</v>
      </c>
      <c r="F29" s="48" t="s">
        <v>182</v>
      </c>
      <c r="G29" s="48" t="s">
        <v>111</v>
      </c>
      <c r="H29" s="48" t="s">
        <v>112</v>
      </c>
      <c r="I29" s="48" t="s">
        <v>534</v>
      </c>
      <c r="J29" s="50">
        <v>1.3</v>
      </c>
      <c r="K29" s="48" t="s">
        <v>535</v>
      </c>
      <c r="L29" s="48" t="s">
        <v>536</v>
      </c>
      <c r="M29" s="48" t="s">
        <v>537</v>
      </c>
      <c r="N29" s="48" t="s">
        <v>117</v>
      </c>
      <c r="O29" s="48" t="s">
        <v>187</v>
      </c>
      <c r="P29" s="48" t="s">
        <v>210</v>
      </c>
      <c r="Q29" s="48" t="s">
        <v>523</v>
      </c>
      <c r="R29" s="48" t="s">
        <v>538</v>
      </c>
      <c r="S29" s="48" t="s">
        <v>539</v>
      </c>
      <c r="T29" s="48" t="s">
        <v>540</v>
      </c>
      <c r="U29" s="48" t="s">
        <v>541</v>
      </c>
      <c r="V29" s="48" t="s">
        <v>542</v>
      </c>
      <c r="W29" s="48" t="s">
        <v>415</v>
      </c>
      <c r="X29" s="53" t="s">
        <v>543</v>
      </c>
      <c r="Y29" s="48" t="s">
        <v>544</v>
      </c>
      <c r="Z29" s="48" t="s">
        <v>195</v>
      </c>
      <c r="AA29" s="48" t="s">
        <v>545</v>
      </c>
      <c r="AB29" s="48" t="s">
        <v>511</v>
      </c>
      <c r="AC29" s="48" t="s">
        <v>546</v>
      </c>
      <c r="AD29" s="48" t="s">
        <v>547</v>
      </c>
      <c r="AE29" s="48" t="s">
        <v>216</v>
      </c>
      <c r="AF29" s="60" t="s">
        <v>531</v>
      </c>
      <c r="AG29" s="48" t="s">
        <v>548</v>
      </c>
      <c r="AH29" s="48" t="s">
        <v>549</v>
      </c>
      <c r="AI29" s="48" t="s">
        <v>550</v>
      </c>
      <c r="AJ29" s="10" t="s">
        <v>332</v>
      </c>
      <c r="AK29" s="56" t="s">
        <v>13</v>
      </c>
      <c r="AL29" s="56" t="s">
        <v>7</v>
      </c>
      <c r="AM29" s="56" t="s">
        <v>7</v>
      </c>
      <c r="AN29" s="56" t="s">
        <v>13</v>
      </c>
      <c r="AO29" s="56" t="s">
        <v>13</v>
      </c>
      <c r="AP29" s="56" t="s">
        <v>7</v>
      </c>
      <c r="AQ29" s="56" t="s">
        <v>13</v>
      </c>
      <c r="AR29" s="56" t="s">
        <v>7</v>
      </c>
      <c r="AS29" s="56" t="s">
        <v>7</v>
      </c>
      <c r="AT29" s="56" t="s">
        <v>13</v>
      </c>
      <c r="AU29" s="56" t="s">
        <v>7</v>
      </c>
      <c r="AV29" s="66" t="s">
        <v>21</v>
      </c>
      <c r="AW29"/>
      <c r="AX29"/>
      <c r="AY29"/>
      <c r="AZ29"/>
      <c r="BA29"/>
      <c r="BB29"/>
      <c r="BC29"/>
      <c r="BD29"/>
      <c r="BE29"/>
      <c r="BF29"/>
      <c r="BG29"/>
    </row>
    <row r="30" spans="1:59" s="51" customFormat="1" ht="51.75" x14ac:dyDescent="0.3">
      <c r="A30" s="64">
        <v>29</v>
      </c>
      <c r="B30" s="48" t="s">
        <v>48</v>
      </c>
      <c r="C30" s="48" t="s">
        <v>551</v>
      </c>
      <c r="D30" s="56" t="s">
        <v>135</v>
      </c>
      <c r="E30" s="48" t="s">
        <v>136</v>
      </c>
      <c r="F30" s="48" t="s">
        <v>552</v>
      </c>
      <c r="G30" s="48" t="s">
        <v>111</v>
      </c>
      <c r="H30" s="48" t="s">
        <v>112</v>
      </c>
      <c r="I30" s="48" t="s">
        <v>553</v>
      </c>
      <c r="J30" s="50">
        <v>10.43</v>
      </c>
      <c r="K30" s="48" t="s">
        <v>554</v>
      </c>
      <c r="L30" s="48" t="s">
        <v>555</v>
      </c>
      <c r="M30" s="48" t="s">
        <v>116</v>
      </c>
      <c r="N30" s="48" t="s">
        <v>225</v>
      </c>
      <c r="O30" s="48" t="s">
        <v>481</v>
      </c>
      <c r="P30" s="48" t="s">
        <v>556</v>
      </c>
      <c r="Q30" s="48" t="s">
        <v>120</v>
      </c>
      <c r="R30" s="48" t="s">
        <v>557</v>
      </c>
      <c r="S30" s="48" t="s">
        <v>558</v>
      </c>
      <c r="T30" s="48" t="s">
        <v>559</v>
      </c>
      <c r="U30" s="48" t="s">
        <v>284</v>
      </c>
      <c r="V30" s="48" t="s">
        <v>285</v>
      </c>
      <c r="W30" s="48" t="s">
        <v>415</v>
      </c>
      <c r="X30" s="48" t="s">
        <v>149</v>
      </c>
      <c r="Y30" s="48" t="s">
        <v>194</v>
      </c>
      <c r="Z30" s="48" t="s">
        <v>560</v>
      </c>
      <c r="AA30" s="48" t="s">
        <v>561</v>
      </c>
      <c r="AB30" s="48" t="s">
        <v>562</v>
      </c>
      <c r="AC30" s="48" t="s">
        <v>563</v>
      </c>
      <c r="AD30" s="48" t="s">
        <v>564</v>
      </c>
      <c r="AE30" s="48" t="s">
        <v>448</v>
      </c>
      <c r="AF30" s="48" t="s">
        <v>420</v>
      </c>
      <c r="AG30" s="48" t="s">
        <v>565</v>
      </c>
      <c r="AH30" s="48" t="s">
        <v>450</v>
      </c>
      <c r="AI30" s="48" t="s">
        <v>566</v>
      </c>
      <c r="AJ30" s="10" t="s">
        <v>567</v>
      </c>
      <c r="AK30" s="56" t="s">
        <v>7</v>
      </c>
      <c r="AL30" s="56" t="s">
        <v>7</v>
      </c>
      <c r="AM30" s="56" t="s">
        <v>7</v>
      </c>
      <c r="AN30" s="56" t="s">
        <v>7</v>
      </c>
      <c r="AO30" s="56" t="s">
        <v>7</v>
      </c>
      <c r="AP30" s="56" t="s">
        <v>7</v>
      </c>
      <c r="AQ30" s="56" t="s">
        <v>7</v>
      </c>
      <c r="AR30" s="56" t="s">
        <v>7</v>
      </c>
      <c r="AS30" s="56" t="s">
        <v>7</v>
      </c>
      <c r="AT30" s="56" t="s">
        <v>13</v>
      </c>
      <c r="AU30" s="56" t="s">
        <v>7</v>
      </c>
      <c r="AV30" s="66" t="s">
        <v>21</v>
      </c>
      <c r="AW30"/>
      <c r="AX30"/>
      <c r="AY30"/>
      <c r="AZ30"/>
      <c r="BA30"/>
      <c r="BB30"/>
      <c r="BC30"/>
      <c r="BD30"/>
      <c r="BE30"/>
      <c r="BF30"/>
      <c r="BG30"/>
    </row>
    <row r="31" spans="1:59" ht="69" x14ac:dyDescent="0.3">
      <c r="A31" s="65">
        <v>22</v>
      </c>
      <c r="B31" s="24" t="s">
        <v>49</v>
      </c>
      <c r="C31" s="24" t="s">
        <v>568</v>
      </c>
      <c r="D31" s="56" t="s">
        <v>180</v>
      </c>
      <c r="E31" s="24" t="s">
        <v>136</v>
      </c>
      <c r="F31" s="24" t="s">
        <v>182</v>
      </c>
      <c r="G31" s="24" t="s">
        <v>569</v>
      </c>
      <c r="H31" s="24" t="s">
        <v>112</v>
      </c>
      <c r="I31" s="24" t="s">
        <v>570</v>
      </c>
      <c r="J31" s="8">
        <v>4.5</v>
      </c>
      <c r="K31" s="24" t="s">
        <v>571</v>
      </c>
      <c r="L31" s="24" t="s">
        <v>572</v>
      </c>
      <c r="M31" s="24" t="s">
        <v>537</v>
      </c>
      <c r="N31" s="24" t="s">
        <v>117</v>
      </c>
      <c r="O31" s="24" t="s">
        <v>573</v>
      </c>
      <c r="P31" s="24" t="s">
        <v>319</v>
      </c>
      <c r="Q31" s="24" t="s">
        <v>120</v>
      </c>
      <c r="R31" s="24" t="s">
        <v>574</v>
      </c>
      <c r="S31" s="24" t="s">
        <v>575</v>
      </c>
      <c r="T31" s="24" t="s">
        <v>576</v>
      </c>
      <c r="U31" s="24" t="s">
        <v>577</v>
      </c>
      <c r="V31" s="24" t="s">
        <v>578</v>
      </c>
      <c r="W31" s="24" t="s">
        <v>579</v>
      </c>
      <c r="X31" s="24" t="s">
        <v>580</v>
      </c>
      <c r="Y31" s="24" t="s">
        <v>581</v>
      </c>
      <c r="Z31" s="24" t="s">
        <v>560</v>
      </c>
      <c r="AA31" s="24" t="s">
        <v>582</v>
      </c>
      <c r="AB31" s="24" t="s">
        <v>326</v>
      </c>
      <c r="AC31" s="24" t="s">
        <v>583</v>
      </c>
      <c r="AD31" s="24" t="s">
        <v>584</v>
      </c>
      <c r="AE31" s="24" t="s">
        <v>198</v>
      </c>
      <c r="AF31" s="24" t="s">
        <v>585</v>
      </c>
      <c r="AG31" s="24" t="s">
        <v>586</v>
      </c>
      <c r="AH31" s="24" t="s">
        <v>587</v>
      </c>
      <c r="AI31" s="24" t="s">
        <v>588</v>
      </c>
      <c r="AJ31" s="35" t="s">
        <v>589</v>
      </c>
      <c r="AK31" s="56" t="s">
        <v>13</v>
      </c>
      <c r="AL31" s="56" t="s">
        <v>7</v>
      </c>
      <c r="AM31" s="56" t="s">
        <v>7</v>
      </c>
      <c r="AN31" s="56" t="s">
        <v>13</v>
      </c>
      <c r="AO31" s="56" t="s">
        <v>13</v>
      </c>
      <c r="AP31" s="56" t="s">
        <v>7</v>
      </c>
      <c r="AQ31" s="56" t="s">
        <v>7</v>
      </c>
      <c r="AR31" s="56" t="s">
        <v>7</v>
      </c>
      <c r="AS31" s="56" t="s">
        <v>7</v>
      </c>
      <c r="AT31" s="56" t="s">
        <v>7</v>
      </c>
      <c r="AU31" s="56" t="s">
        <v>7</v>
      </c>
      <c r="AV31" s="66" t="s">
        <v>21</v>
      </c>
    </row>
    <row r="32" spans="1:59" s="51" customFormat="1" ht="69" x14ac:dyDescent="0.3">
      <c r="A32" s="64">
        <v>31</v>
      </c>
      <c r="B32" s="48" t="s">
        <v>50</v>
      </c>
      <c r="C32" s="48" t="s">
        <v>590</v>
      </c>
      <c r="D32" s="56" t="s">
        <v>180</v>
      </c>
      <c r="E32" s="48" t="s">
        <v>591</v>
      </c>
      <c r="F32" s="48" t="s">
        <v>110</v>
      </c>
      <c r="G32" s="48" t="s">
        <v>111</v>
      </c>
      <c r="H32" s="48" t="s">
        <v>112</v>
      </c>
      <c r="I32" s="49" t="s">
        <v>592</v>
      </c>
      <c r="J32" s="50">
        <v>5</v>
      </c>
      <c r="K32" s="48" t="s">
        <v>593</v>
      </c>
      <c r="L32" s="48" t="s">
        <v>594</v>
      </c>
      <c r="M32" s="48" t="s">
        <v>116</v>
      </c>
      <c r="N32" s="48" t="s">
        <v>117</v>
      </c>
      <c r="O32" s="48" t="s">
        <v>481</v>
      </c>
      <c r="P32" s="48" t="s">
        <v>239</v>
      </c>
      <c r="Q32" s="48" t="s">
        <v>120</v>
      </c>
      <c r="R32" s="48" t="s">
        <v>595</v>
      </c>
      <c r="S32" s="48" t="s">
        <v>425</v>
      </c>
      <c r="T32" s="48" t="s">
        <v>596</v>
      </c>
      <c r="U32" s="48" t="s">
        <v>7</v>
      </c>
      <c r="V32" s="48" t="s">
        <v>7</v>
      </c>
      <c r="W32" s="48" t="s">
        <v>169</v>
      </c>
      <c r="X32" s="48" t="s">
        <v>7</v>
      </c>
      <c r="Y32" s="48" t="s">
        <v>7</v>
      </c>
      <c r="Z32" s="48" t="s">
        <v>195</v>
      </c>
      <c r="AA32" s="62" t="s">
        <v>597</v>
      </c>
      <c r="AB32" s="48" t="s">
        <v>126</v>
      </c>
      <c r="AC32" s="62" t="s">
        <v>598</v>
      </c>
      <c r="AD32" s="48" t="s">
        <v>127</v>
      </c>
      <c r="AE32" s="48" t="s">
        <v>198</v>
      </c>
      <c r="AF32" s="48" t="s">
        <v>599</v>
      </c>
      <c r="AG32" s="48" t="s">
        <v>200</v>
      </c>
      <c r="AH32" s="48" t="s">
        <v>131</v>
      </c>
      <c r="AI32" s="48" t="s">
        <v>600</v>
      </c>
      <c r="AJ32" s="10" t="s">
        <v>365</v>
      </c>
      <c r="AK32" s="56" t="s">
        <v>7</v>
      </c>
      <c r="AL32" s="56" t="s">
        <v>7</v>
      </c>
      <c r="AM32" s="56" t="s">
        <v>7</v>
      </c>
      <c r="AN32" s="56" t="s">
        <v>7</v>
      </c>
      <c r="AO32" s="56" t="s">
        <v>7</v>
      </c>
      <c r="AP32" s="56" t="s">
        <v>7</v>
      </c>
      <c r="AQ32" s="56" t="s">
        <v>7</v>
      </c>
      <c r="AR32" s="56" t="s">
        <v>7</v>
      </c>
      <c r="AS32" s="56" t="s">
        <v>7</v>
      </c>
      <c r="AT32" s="56" t="s">
        <v>13</v>
      </c>
      <c r="AU32" s="56" t="s">
        <v>7</v>
      </c>
      <c r="AV32" s="66" t="s">
        <v>21</v>
      </c>
      <c r="AW32"/>
      <c r="AX32"/>
      <c r="AY32"/>
      <c r="AZ32"/>
      <c r="BA32"/>
      <c r="BB32"/>
      <c r="BC32"/>
      <c r="BD32"/>
      <c r="BE32"/>
      <c r="BF32"/>
      <c r="BG32"/>
    </row>
    <row r="33" spans="1:48" ht="86.25" x14ac:dyDescent="0.3">
      <c r="A33" s="65">
        <v>23</v>
      </c>
      <c r="B33" s="24" t="s">
        <v>51</v>
      </c>
      <c r="C33" s="24" t="s">
        <v>601</v>
      </c>
      <c r="D33" s="56" t="s">
        <v>180</v>
      </c>
      <c r="E33" s="24" t="s">
        <v>591</v>
      </c>
      <c r="F33" s="24" t="s">
        <v>182</v>
      </c>
      <c r="G33" s="24" t="s">
        <v>111</v>
      </c>
      <c r="H33" s="24" t="s">
        <v>112</v>
      </c>
      <c r="I33" s="24" t="s">
        <v>602</v>
      </c>
      <c r="J33" s="8">
        <v>3.88</v>
      </c>
      <c r="K33" s="24" t="s">
        <v>603</v>
      </c>
      <c r="L33" s="24" t="s">
        <v>604</v>
      </c>
      <c r="M33" s="24" t="s">
        <v>537</v>
      </c>
      <c r="N33" s="24" t="s">
        <v>117</v>
      </c>
      <c r="O33" s="24" t="s">
        <v>605</v>
      </c>
      <c r="P33" s="24" t="s">
        <v>319</v>
      </c>
      <c r="Q33" s="24" t="s">
        <v>120</v>
      </c>
      <c r="R33" s="24" t="s">
        <v>606</v>
      </c>
      <c r="S33" s="24" t="s">
        <v>607</v>
      </c>
      <c r="T33" s="24" t="s">
        <v>608</v>
      </c>
      <c r="U33" s="24" t="s">
        <v>609</v>
      </c>
      <c r="V33" s="24" t="s">
        <v>610</v>
      </c>
      <c r="W33" s="24" t="s">
        <v>611</v>
      </c>
      <c r="X33" s="24" t="s">
        <v>149</v>
      </c>
      <c r="Y33" s="24" t="s">
        <v>286</v>
      </c>
      <c r="Z33" s="24" t="s">
        <v>612</v>
      </c>
      <c r="AA33" s="24" t="s">
        <v>613</v>
      </c>
      <c r="AB33" s="24" t="s">
        <v>126</v>
      </c>
      <c r="AC33" s="24" t="s">
        <v>614</v>
      </c>
      <c r="AD33" s="24" t="s">
        <v>615</v>
      </c>
      <c r="AE33" s="24" t="s">
        <v>616</v>
      </c>
      <c r="AF33" s="24" t="s">
        <v>617</v>
      </c>
      <c r="AG33" s="24" t="s">
        <v>200</v>
      </c>
      <c r="AH33" s="24" t="s">
        <v>618</v>
      </c>
      <c r="AI33" s="24" t="s">
        <v>619</v>
      </c>
      <c r="AJ33" s="16" t="s">
        <v>620</v>
      </c>
      <c r="AK33" s="56" t="s">
        <v>7</v>
      </c>
      <c r="AL33" s="56" t="s">
        <v>7</v>
      </c>
      <c r="AM33" s="56" t="s">
        <v>7</v>
      </c>
      <c r="AN33" s="56" t="s">
        <v>13</v>
      </c>
      <c r="AO33" s="56" t="s">
        <v>11</v>
      </c>
      <c r="AP33" s="56" t="s">
        <v>7</v>
      </c>
      <c r="AQ33" s="56" t="s">
        <v>7</v>
      </c>
      <c r="AR33" s="56" t="s">
        <v>7</v>
      </c>
      <c r="AS33" s="56" t="s">
        <v>7</v>
      </c>
      <c r="AT33" s="56" t="s">
        <v>13</v>
      </c>
      <c r="AU33" s="56" t="s">
        <v>7</v>
      </c>
      <c r="AV33" s="66" t="s">
        <v>21</v>
      </c>
    </row>
    <row r="34" spans="1:48" ht="69" x14ac:dyDescent="0.3">
      <c r="A34" s="65">
        <v>24</v>
      </c>
      <c r="B34" s="24" t="s">
        <v>52</v>
      </c>
      <c r="C34" s="24" t="s">
        <v>601</v>
      </c>
      <c r="D34" s="56" t="s">
        <v>180</v>
      </c>
      <c r="E34" s="24" t="s">
        <v>591</v>
      </c>
      <c r="F34" s="24" t="s">
        <v>182</v>
      </c>
      <c r="G34" s="24" t="s">
        <v>111</v>
      </c>
      <c r="H34" s="24" t="s">
        <v>112</v>
      </c>
      <c r="I34" s="24" t="s">
        <v>621</v>
      </c>
      <c r="J34" s="8">
        <v>2.16</v>
      </c>
      <c r="K34" s="24" t="s">
        <v>603</v>
      </c>
      <c r="L34" s="24" t="s">
        <v>622</v>
      </c>
      <c r="M34" s="24" t="s">
        <v>116</v>
      </c>
      <c r="N34" s="24" t="s">
        <v>117</v>
      </c>
      <c r="O34" s="24" t="s">
        <v>359</v>
      </c>
      <c r="P34" s="24" t="s">
        <v>119</v>
      </c>
      <c r="Q34" s="24" t="s">
        <v>120</v>
      </c>
      <c r="R34" s="24" t="s">
        <v>623</v>
      </c>
      <c r="S34" s="24" t="s">
        <v>624</v>
      </c>
      <c r="T34" s="24" t="s">
        <v>625</v>
      </c>
      <c r="U34" s="24" t="s">
        <v>7</v>
      </c>
      <c r="V34" s="24" t="s">
        <v>7</v>
      </c>
      <c r="W34" s="24" t="s">
        <v>626</v>
      </c>
      <c r="X34" s="24" t="s">
        <v>149</v>
      </c>
      <c r="Y34" s="24" t="s">
        <v>627</v>
      </c>
      <c r="Z34" s="24" t="s">
        <v>560</v>
      </c>
      <c r="AA34" s="24" t="s">
        <v>7</v>
      </c>
      <c r="AB34" s="24" t="s">
        <v>174</v>
      </c>
      <c r="AC34" s="61" t="s">
        <v>628</v>
      </c>
      <c r="AD34" s="24" t="s">
        <v>629</v>
      </c>
      <c r="AE34" s="24" t="s">
        <v>198</v>
      </c>
      <c r="AF34" s="24" t="s">
        <v>199</v>
      </c>
      <c r="AG34" s="24" t="s">
        <v>200</v>
      </c>
      <c r="AH34" s="24" t="s">
        <v>630</v>
      </c>
      <c r="AI34" s="24" t="s">
        <v>631</v>
      </c>
      <c r="AJ34" s="35" t="s">
        <v>632</v>
      </c>
      <c r="AK34" s="56" t="s">
        <v>7</v>
      </c>
      <c r="AL34" s="56" t="s">
        <v>7</v>
      </c>
      <c r="AM34" s="56" t="s">
        <v>7</v>
      </c>
      <c r="AN34" s="56" t="s">
        <v>13</v>
      </c>
      <c r="AO34" s="56" t="s">
        <v>633</v>
      </c>
      <c r="AP34" s="56" t="s">
        <v>7</v>
      </c>
      <c r="AQ34" s="56" t="s">
        <v>13</v>
      </c>
      <c r="AR34" s="56" t="s">
        <v>7</v>
      </c>
      <c r="AS34" s="56" t="s">
        <v>7</v>
      </c>
      <c r="AT34" s="57" t="s">
        <v>53</v>
      </c>
      <c r="AU34" s="56" t="s">
        <v>7</v>
      </c>
      <c r="AV34" s="66" t="s">
        <v>21</v>
      </c>
    </row>
    <row r="35" spans="1:48" ht="69" x14ac:dyDescent="0.3">
      <c r="A35" s="65">
        <v>27</v>
      </c>
      <c r="B35" s="24" t="s">
        <v>54</v>
      </c>
      <c r="C35" s="24" t="s">
        <v>634</v>
      </c>
      <c r="D35" s="56" t="s">
        <v>258</v>
      </c>
      <c r="E35" s="24" t="s">
        <v>109</v>
      </c>
      <c r="F35" s="24" t="s">
        <v>552</v>
      </c>
      <c r="G35" s="24" t="s">
        <v>235</v>
      </c>
      <c r="H35" s="24" t="s">
        <v>112</v>
      </c>
      <c r="I35" s="24" t="s">
        <v>635</v>
      </c>
      <c r="J35" s="8">
        <v>1.9</v>
      </c>
      <c r="K35" s="24" t="s">
        <v>636</v>
      </c>
      <c r="L35" s="24" t="s">
        <v>637</v>
      </c>
      <c r="M35" s="24" t="s">
        <v>537</v>
      </c>
      <c r="N35" s="24" t="s">
        <v>117</v>
      </c>
      <c r="O35" s="24" t="s">
        <v>141</v>
      </c>
      <c r="P35" s="24" t="s">
        <v>280</v>
      </c>
      <c r="Q35" s="24" t="s">
        <v>120</v>
      </c>
      <c r="R35" s="24" t="s">
        <v>638</v>
      </c>
      <c r="S35" s="24" t="s">
        <v>639</v>
      </c>
      <c r="T35" s="24" t="s">
        <v>640</v>
      </c>
      <c r="U35" s="24" t="s">
        <v>641</v>
      </c>
      <c r="V35" s="24"/>
      <c r="W35" s="24" t="s">
        <v>642</v>
      </c>
      <c r="X35" s="24" t="s">
        <v>643</v>
      </c>
      <c r="Y35" s="24" t="s">
        <v>286</v>
      </c>
      <c r="Z35" s="24" t="s">
        <v>268</v>
      </c>
      <c r="AA35" s="24"/>
      <c r="AB35" s="24"/>
      <c r="AC35" s="24"/>
      <c r="AD35" s="24" t="s">
        <v>644</v>
      </c>
      <c r="AE35" s="37" t="s">
        <v>269</v>
      </c>
      <c r="AF35" s="24" t="s">
        <v>270</v>
      </c>
      <c r="AG35" s="24" t="s">
        <v>645</v>
      </c>
      <c r="AH35" s="24" t="s">
        <v>255</v>
      </c>
      <c r="AI35" s="24" t="s">
        <v>646</v>
      </c>
      <c r="AJ35" s="35" t="s">
        <v>647</v>
      </c>
      <c r="AK35" s="56" t="s">
        <v>13</v>
      </c>
      <c r="AL35" s="56" t="s">
        <v>7</v>
      </c>
      <c r="AM35" s="56" t="s">
        <v>7</v>
      </c>
      <c r="AN35" s="56" t="s">
        <v>13</v>
      </c>
      <c r="AO35" s="56" t="s">
        <v>7</v>
      </c>
      <c r="AP35" s="56" t="s">
        <v>7</v>
      </c>
      <c r="AQ35" s="56" t="s">
        <v>7</v>
      </c>
      <c r="AR35" s="56" t="s">
        <v>7</v>
      </c>
      <c r="AS35" s="56" t="s">
        <v>7</v>
      </c>
      <c r="AT35" s="56" t="s">
        <v>7</v>
      </c>
      <c r="AU35" s="56" t="s">
        <v>7</v>
      </c>
      <c r="AV35" s="66" t="s">
        <v>21</v>
      </c>
    </row>
    <row r="36" spans="1:48" ht="51.75" x14ac:dyDescent="0.3">
      <c r="A36" s="65">
        <v>35</v>
      </c>
      <c r="B36" s="24" t="s">
        <v>55</v>
      </c>
      <c r="C36" s="24" t="s">
        <v>648</v>
      </c>
      <c r="D36" s="56" t="s">
        <v>296</v>
      </c>
      <c r="E36" s="24" t="s">
        <v>649</v>
      </c>
      <c r="F36" s="24" t="s">
        <v>205</v>
      </c>
      <c r="G36" s="24" t="s">
        <v>366</v>
      </c>
      <c r="H36" s="24" t="s">
        <v>164</v>
      </c>
      <c r="I36" s="24" t="s">
        <v>650</v>
      </c>
      <c r="J36" s="8" t="s">
        <v>651</v>
      </c>
      <c r="K36" s="24" t="s">
        <v>652</v>
      </c>
      <c r="L36" s="24" t="s">
        <v>653</v>
      </c>
      <c r="M36" s="24" t="s">
        <v>116</v>
      </c>
      <c r="N36" s="24" t="s">
        <v>209</v>
      </c>
      <c r="O36" s="24" t="s">
        <v>118</v>
      </c>
      <c r="P36" s="24" t="s">
        <v>654</v>
      </c>
      <c r="Q36" s="24" t="s">
        <v>120</v>
      </c>
      <c r="R36" s="24" t="s">
        <v>655</v>
      </c>
      <c r="S36" s="24" t="s">
        <v>656</v>
      </c>
      <c r="T36" s="24" t="s">
        <v>657</v>
      </c>
      <c r="U36" s="24" t="s">
        <v>7</v>
      </c>
      <c r="V36" s="24" t="s">
        <v>7</v>
      </c>
      <c r="W36" s="24" t="s">
        <v>7</v>
      </c>
      <c r="X36" s="24" t="s">
        <v>7</v>
      </c>
      <c r="Y36" s="24" t="s">
        <v>7</v>
      </c>
      <c r="Z36" s="24" t="s">
        <v>7</v>
      </c>
      <c r="AA36" s="24" t="s">
        <v>7</v>
      </c>
      <c r="AB36" s="24" t="s">
        <v>7</v>
      </c>
      <c r="AC36" s="24" t="s">
        <v>7</v>
      </c>
      <c r="AD36" s="24" t="s">
        <v>658</v>
      </c>
      <c r="AE36" s="24" t="s">
        <v>659</v>
      </c>
      <c r="AF36" s="24" t="s">
        <v>129</v>
      </c>
      <c r="AG36" s="24" t="s">
        <v>660</v>
      </c>
      <c r="AH36" s="24" t="s">
        <v>7</v>
      </c>
      <c r="AI36" s="24" t="s">
        <v>7</v>
      </c>
      <c r="AJ36" s="35" t="s">
        <v>661</v>
      </c>
      <c r="AK36" s="56" t="s">
        <v>13</v>
      </c>
      <c r="AL36" s="56" t="s">
        <v>7</v>
      </c>
      <c r="AM36" s="56" t="s">
        <v>7</v>
      </c>
      <c r="AN36" s="56" t="s">
        <v>7</v>
      </c>
      <c r="AO36" s="56" t="s">
        <v>7</v>
      </c>
      <c r="AP36" s="56" t="s">
        <v>7</v>
      </c>
      <c r="AQ36" s="56" t="s">
        <v>7</v>
      </c>
      <c r="AR36" s="56" t="s">
        <v>7</v>
      </c>
      <c r="AS36" s="56" t="s">
        <v>7</v>
      </c>
      <c r="AT36" s="56" t="s">
        <v>7</v>
      </c>
      <c r="AU36" s="56" t="s">
        <v>7</v>
      </c>
      <c r="AV36" s="66" t="s">
        <v>21</v>
      </c>
    </row>
    <row r="37" spans="1:48" ht="51.75" x14ac:dyDescent="0.3">
      <c r="A37" s="64">
        <v>28</v>
      </c>
      <c r="B37" s="48" t="s">
        <v>662</v>
      </c>
      <c r="C37" s="48" t="s">
        <v>634</v>
      </c>
      <c r="D37" s="56" t="s">
        <v>135</v>
      </c>
      <c r="E37" s="48" t="s">
        <v>136</v>
      </c>
      <c r="F37" s="48" t="s">
        <v>552</v>
      </c>
      <c r="G37" s="48" t="s">
        <v>111</v>
      </c>
      <c r="H37" s="48" t="s">
        <v>112</v>
      </c>
      <c r="I37" s="48" t="s">
        <v>663</v>
      </c>
      <c r="J37" s="50">
        <v>4</v>
      </c>
      <c r="K37" s="48" t="s">
        <v>664</v>
      </c>
      <c r="L37" s="48" t="s">
        <v>665</v>
      </c>
      <c r="M37" s="48" t="s">
        <v>537</v>
      </c>
      <c r="N37" s="48" t="s">
        <v>117</v>
      </c>
      <c r="O37" s="48" t="s">
        <v>666</v>
      </c>
      <c r="P37" s="48" t="s">
        <v>667</v>
      </c>
      <c r="Q37" s="48" t="s">
        <v>120</v>
      </c>
      <c r="R37" s="48" t="s">
        <v>595</v>
      </c>
      <c r="S37" s="48" t="s">
        <v>668</v>
      </c>
      <c r="T37" s="48" t="s">
        <v>669</v>
      </c>
      <c r="U37" s="48" t="s">
        <v>670</v>
      </c>
      <c r="V37" s="48" t="s">
        <v>7</v>
      </c>
      <c r="W37" s="48" t="s">
        <v>671</v>
      </c>
      <c r="X37" s="48" t="s">
        <v>672</v>
      </c>
      <c r="Y37" s="48"/>
      <c r="Z37" s="48" t="s">
        <v>268</v>
      </c>
      <c r="AA37" s="48" t="s">
        <v>673</v>
      </c>
      <c r="AB37" s="48" t="s">
        <v>674</v>
      </c>
      <c r="AC37" s="48" t="s">
        <v>7</v>
      </c>
      <c r="AD37" s="48" t="s">
        <v>675</v>
      </c>
      <c r="AE37" s="52" t="s">
        <v>269</v>
      </c>
      <c r="AF37" s="48" t="s">
        <v>270</v>
      </c>
      <c r="AG37" s="48" t="s">
        <v>645</v>
      </c>
      <c r="AH37" s="48" t="s">
        <v>676</v>
      </c>
      <c r="AI37" s="50">
        <v>100000</v>
      </c>
      <c r="AJ37" s="10" t="s">
        <v>432</v>
      </c>
      <c r="AK37" s="56" t="s">
        <v>13</v>
      </c>
      <c r="AL37" s="56" t="s">
        <v>7</v>
      </c>
      <c r="AM37" s="56" t="s">
        <v>7</v>
      </c>
      <c r="AN37" s="56" t="s">
        <v>13</v>
      </c>
      <c r="AO37" s="56" t="s">
        <v>7</v>
      </c>
      <c r="AP37" s="56" t="s">
        <v>7</v>
      </c>
      <c r="AQ37" s="56" t="s">
        <v>7</v>
      </c>
      <c r="AR37" s="56" t="s">
        <v>7</v>
      </c>
      <c r="AS37" s="56" t="s">
        <v>7</v>
      </c>
      <c r="AT37" s="56" t="s">
        <v>7</v>
      </c>
      <c r="AU37" s="56" t="s">
        <v>7</v>
      </c>
      <c r="AV37" s="66" t="s">
        <v>21</v>
      </c>
    </row>
    <row r="38" spans="1:48" ht="66" x14ac:dyDescent="0.3">
      <c r="A38" s="65">
        <v>30</v>
      </c>
      <c r="B38" s="24" t="s">
        <v>57</v>
      </c>
      <c r="C38" s="24" t="s">
        <v>677</v>
      </c>
      <c r="D38" s="56" t="s">
        <v>135</v>
      </c>
      <c r="E38" s="24" t="s">
        <v>136</v>
      </c>
      <c r="F38" s="24" t="s">
        <v>137</v>
      </c>
      <c r="G38" s="24" t="s">
        <v>111</v>
      </c>
      <c r="H38" s="24" t="s">
        <v>112</v>
      </c>
      <c r="I38" s="24" t="s">
        <v>678</v>
      </c>
      <c r="J38" s="8">
        <v>3.8</v>
      </c>
      <c r="K38" s="24" t="s">
        <v>603</v>
      </c>
      <c r="L38" s="24" t="s">
        <v>679</v>
      </c>
      <c r="M38" s="24" t="s">
        <v>116</v>
      </c>
      <c r="N38" s="24" t="s">
        <v>117</v>
      </c>
      <c r="O38" s="24" t="s">
        <v>680</v>
      </c>
      <c r="P38" s="24" t="s">
        <v>681</v>
      </c>
      <c r="Q38" s="24" t="s">
        <v>120</v>
      </c>
      <c r="R38" s="24" t="s">
        <v>682</v>
      </c>
      <c r="S38" s="24" t="s">
        <v>683</v>
      </c>
      <c r="T38" s="24" t="s">
        <v>684</v>
      </c>
      <c r="U38" s="24" t="s">
        <v>284</v>
      </c>
      <c r="V38" s="24" t="s">
        <v>685</v>
      </c>
      <c r="W38" s="24" t="s">
        <v>415</v>
      </c>
      <c r="X38" s="24" t="s">
        <v>686</v>
      </c>
      <c r="Y38" s="24" t="s">
        <v>286</v>
      </c>
      <c r="Z38" s="24" t="s">
        <v>195</v>
      </c>
      <c r="AA38" s="24" t="s">
        <v>687</v>
      </c>
      <c r="AB38" s="24" t="s">
        <v>126</v>
      </c>
      <c r="AC38" s="24" t="s">
        <v>688</v>
      </c>
      <c r="AD38" s="24" t="s">
        <v>689</v>
      </c>
      <c r="AE38" s="24" t="s">
        <v>690</v>
      </c>
      <c r="AF38" s="24" t="s">
        <v>199</v>
      </c>
      <c r="AG38" s="24" t="s">
        <v>691</v>
      </c>
      <c r="AH38" s="24" t="s">
        <v>255</v>
      </c>
      <c r="AI38" s="24" t="s">
        <v>692</v>
      </c>
      <c r="AJ38" s="16" t="s">
        <v>693</v>
      </c>
      <c r="AK38" s="56" t="s">
        <v>7</v>
      </c>
      <c r="AL38" s="56" t="s">
        <v>7</v>
      </c>
      <c r="AM38" s="56" t="s">
        <v>7</v>
      </c>
      <c r="AN38" s="56" t="s">
        <v>13</v>
      </c>
      <c r="AO38" s="56" t="s">
        <v>7</v>
      </c>
      <c r="AP38" s="56" t="s">
        <v>7</v>
      </c>
      <c r="AQ38" s="56" t="s">
        <v>7</v>
      </c>
      <c r="AR38" s="56" t="s">
        <v>7</v>
      </c>
      <c r="AS38" s="56" t="s">
        <v>7</v>
      </c>
      <c r="AT38" s="57" t="s">
        <v>53</v>
      </c>
      <c r="AU38" s="56" t="s">
        <v>7</v>
      </c>
      <c r="AV38" s="66" t="s">
        <v>21</v>
      </c>
    </row>
    <row r="39" spans="1:48" ht="51.75" x14ac:dyDescent="0.3">
      <c r="A39" s="65">
        <v>33</v>
      </c>
      <c r="B39" s="24" t="s">
        <v>58</v>
      </c>
      <c r="C39" s="24" t="s">
        <v>694</v>
      </c>
      <c r="D39" s="56" t="s">
        <v>135</v>
      </c>
      <c r="E39" s="24" t="s">
        <v>136</v>
      </c>
      <c r="F39" s="24" t="s">
        <v>110</v>
      </c>
      <c r="G39" s="24" t="s">
        <v>111</v>
      </c>
      <c r="H39" s="24" t="s">
        <v>112</v>
      </c>
      <c r="I39" s="24" t="s">
        <v>695</v>
      </c>
      <c r="J39" s="8" t="s">
        <v>696</v>
      </c>
      <c r="K39" s="24" t="s">
        <v>697</v>
      </c>
      <c r="L39" s="24" t="s">
        <v>698</v>
      </c>
      <c r="M39" s="24" t="s">
        <v>537</v>
      </c>
      <c r="N39" s="24" t="s">
        <v>117</v>
      </c>
      <c r="O39" s="24" t="s">
        <v>187</v>
      </c>
      <c r="P39" s="24" t="s">
        <v>699</v>
      </c>
      <c r="Q39" s="24" t="s">
        <v>120</v>
      </c>
      <c r="R39" s="24" t="s">
        <v>700</v>
      </c>
      <c r="S39" s="24" t="s">
        <v>701</v>
      </c>
      <c r="T39" s="24" t="s">
        <v>702</v>
      </c>
      <c r="U39" s="24" t="s">
        <v>7</v>
      </c>
      <c r="V39" s="24" t="s">
        <v>7</v>
      </c>
      <c r="W39" s="24" t="s">
        <v>169</v>
      </c>
      <c r="X39" s="24" t="s">
        <v>703</v>
      </c>
      <c r="Y39" s="24" t="s">
        <v>7</v>
      </c>
      <c r="Z39" s="24" t="s">
        <v>195</v>
      </c>
      <c r="AA39" s="24" t="s">
        <v>7</v>
      </c>
      <c r="AB39" s="24" t="s">
        <v>7</v>
      </c>
      <c r="AC39" s="24" t="s">
        <v>7</v>
      </c>
      <c r="AD39" s="24" t="s">
        <v>704</v>
      </c>
      <c r="AE39" s="24" t="s">
        <v>7</v>
      </c>
      <c r="AF39" s="24" t="s">
        <v>7</v>
      </c>
      <c r="AG39" s="24" t="s">
        <v>705</v>
      </c>
      <c r="AH39" s="24" t="s">
        <v>706</v>
      </c>
      <c r="AI39" s="24" t="s">
        <v>707</v>
      </c>
      <c r="AJ39" s="16" t="s">
        <v>708</v>
      </c>
      <c r="AK39" s="56" t="s">
        <v>7</v>
      </c>
      <c r="AL39" s="56" t="s">
        <v>7</v>
      </c>
      <c r="AM39" s="56" t="s">
        <v>7</v>
      </c>
      <c r="AN39" s="56" t="s">
        <v>13</v>
      </c>
      <c r="AO39" s="56" t="s">
        <v>13</v>
      </c>
      <c r="AP39" s="56" t="s">
        <v>7</v>
      </c>
      <c r="AQ39" s="56" t="s">
        <v>7</v>
      </c>
      <c r="AR39" s="56" t="s">
        <v>7</v>
      </c>
      <c r="AS39" s="56" t="s">
        <v>7</v>
      </c>
      <c r="AT39" s="56" t="s">
        <v>7</v>
      </c>
      <c r="AU39" s="56" t="s">
        <v>7</v>
      </c>
      <c r="AV39" s="66" t="s">
        <v>21</v>
      </c>
    </row>
    <row r="40" spans="1:48" ht="51.75" x14ac:dyDescent="0.3">
      <c r="A40" s="65">
        <v>36</v>
      </c>
      <c r="B40" s="24" t="s">
        <v>59</v>
      </c>
      <c r="C40" s="24" t="s">
        <v>709</v>
      </c>
      <c r="D40" s="56" t="s">
        <v>296</v>
      </c>
      <c r="E40" s="24" t="s">
        <v>710</v>
      </c>
      <c r="F40" s="24" t="s">
        <v>205</v>
      </c>
      <c r="G40" s="24" t="s">
        <v>235</v>
      </c>
      <c r="H40" s="24" t="s">
        <v>112</v>
      </c>
      <c r="I40" s="24" t="s">
        <v>711</v>
      </c>
      <c r="J40" s="8">
        <v>2.7</v>
      </c>
      <c r="K40" s="24" t="s">
        <v>712</v>
      </c>
      <c r="L40" s="24" t="s">
        <v>713</v>
      </c>
      <c r="M40" s="24" t="s">
        <v>116</v>
      </c>
      <c r="N40" s="24" t="s">
        <v>714</v>
      </c>
      <c r="O40" s="24" t="s">
        <v>7</v>
      </c>
      <c r="P40" s="24" t="s">
        <v>715</v>
      </c>
      <c r="Q40" s="24" t="s">
        <v>120</v>
      </c>
      <c r="R40" s="24" t="s">
        <v>716</v>
      </c>
      <c r="S40" s="24" t="s">
        <v>717</v>
      </c>
      <c r="T40" s="24" t="s">
        <v>718</v>
      </c>
      <c r="U40" s="24" t="s">
        <v>7</v>
      </c>
      <c r="V40" s="24" t="s">
        <v>7</v>
      </c>
      <c r="W40" s="24" t="s">
        <v>7</v>
      </c>
      <c r="X40" s="24" t="s">
        <v>400</v>
      </c>
      <c r="Y40" s="24" t="s">
        <v>325</v>
      </c>
      <c r="Z40" s="24" t="s">
        <v>719</v>
      </c>
      <c r="AA40" s="24" t="s">
        <v>7</v>
      </c>
      <c r="AB40" s="24" t="s">
        <v>720</v>
      </c>
      <c r="AC40" s="24" t="s">
        <v>7</v>
      </c>
      <c r="AD40" s="24" t="s">
        <v>721</v>
      </c>
      <c r="AE40" s="24" t="s">
        <v>659</v>
      </c>
      <c r="AF40" s="24" t="s">
        <v>449</v>
      </c>
      <c r="AG40" s="24" t="s">
        <v>722</v>
      </c>
      <c r="AH40" s="24" t="s">
        <v>723</v>
      </c>
      <c r="AI40" s="24" t="s">
        <v>724</v>
      </c>
      <c r="AJ40" s="35" t="s">
        <v>725</v>
      </c>
      <c r="AK40" s="56" t="s">
        <v>13</v>
      </c>
      <c r="AL40" s="56" t="s">
        <v>7</v>
      </c>
      <c r="AM40" s="56" t="s">
        <v>7</v>
      </c>
      <c r="AN40" s="56" t="s">
        <v>13</v>
      </c>
      <c r="AO40" s="56" t="s">
        <v>13</v>
      </c>
      <c r="AP40" s="56" t="s">
        <v>7</v>
      </c>
      <c r="AQ40" s="56" t="s">
        <v>7</v>
      </c>
      <c r="AR40" s="56" t="s">
        <v>7</v>
      </c>
      <c r="AS40" s="56" t="s">
        <v>7</v>
      </c>
      <c r="AT40" s="56" t="s">
        <v>13</v>
      </c>
      <c r="AU40" s="56" t="s">
        <v>7</v>
      </c>
      <c r="AV40" s="66" t="s">
        <v>21</v>
      </c>
    </row>
    <row r="41" spans="1:48" ht="69" x14ac:dyDescent="0.3">
      <c r="A41" s="65">
        <v>37</v>
      </c>
      <c r="B41" s="24" t="s">
        <v>60</v>
      </c>
      <c r="C41" s="24" t="s">
        <v>726</v>
      </c>
      <c r="D41" s="56" t="s">
        <v>727</v>
      </c>
      <c r="E41" s="24" t="s">
        <v>136</v>
      </c>
      <c r="F41" s="24" t="s">
        <v>182</v>
      </c>
      <c r="G41" s="24" t="s">
        <v>366</v>
      </c>
      <c r="H41" s="24" t="s">
        <v>112</v>
      </c>
      <c r="I41" s="24" t="s">
        <v>728</v>
      </c>
      <c r="J41" s="8">
        <v>2.8</v>
      </c>
      <c r="K41" s="24" t="s">
        <v>729</v>
      </c>
      <c r="L41" s="24" t="s">
        <v>730</v>
      </c>
      <c r="M41" s="24" t="s">
        <v>537</v>
      </c>
      <c r="N41" s="24" t="s">
        <v>225</v>
      </c>
      <c r="O41" s="24" t="s">
        <v>141</v>
      </c>
      <c r="P41" s="24" t="s">
        <v>731</v>
      </c>
      <c r="Q41" s="24" t="s">
        <v>120</v>
      </c>
      <c r="R41" s="24" t="s">
        <v>732</v>
      </c>
      <c r="S41" s="24" t="s">
        <v>733</v>
      </c>
      <c r="T41" s="24" t="s">
        <v>734</v>
      </c>
      <c r="U41" s="24" t="s">
        <v>7</v>
      </c>
      <c r="V41" s="24" t="s">
        <v>7</v>
      </c>
      <c r="W41" s="24" t="s">
        <v>735</v>
      </c>
      <c r="X41" s="24" t="s">
        <v>352</v>
      </c>
      <c r="Y41" s="24" t="s">
        <v>7</v>
      </c>
      <c r="Z41" s="24" t="s">
        <v>736</v>
      </c>
      <c r="AA41" s="24" t="s">
        <v>7</v>
      </c>
      <c r="AB41" s="24" t="s">
        <v>7</v>
      </c>
      <c r="AC41" s="24" t="s">
        <v>7</v>
      </c>
      <c r="AD41" s="24" t="s">
        <v>254</v>
      </c>
      <c r="AE41" s="24" t="s">
        <v>737</v>
      </c>
      <c r="AF41" s="24" t="s">
        <v>7</v>
      </c>
      <c r="AG41" s="24" t="s">
        <v>200</v>
      </c>
      <c r="AH41" s="24" t="s">
        <v>738</v>
      </c>
      <c r="AI41" s="24" t="s">
        <v>739</v>
      </c>
      <c r="AJ41" s="35" t="s">
        <v>740</v>
      </c>
      <c r="AK41" s="56" t="s">
        <v>13</v>
      </c>
      <c r="AL41" s="56" t="s">
        <v>7</v>
      </c>
      <c r="AM41" s="56" t="s">
        <v>7</v>
      </c>
      <c r="AN41" s="56" t="s">
        <v>13</v>
      </c>
      <c r="AO41" s="56" t="s">
        <v>7</v>
      </c>
      <c r="AP41" s="56" t="s">
        <v>7</v>
      </c>
      <c r="AQ41" s="56" t="s">
        <v>13</v>
      </c>
      <c r="AR41" s="56" t="s">
        <v>7</v>
      </c>
      <c r="AS41" s="56" t="s">
        <v>7</v>
      </c>
      <c r="AT41" s="56" t="s">
        <v>7</v>
      </c>
      <c r="AU41" s="56" t="s">
        <v>7</v>
      </c>
      <c r="AV41" s="66" t="s">
        <v>21</v>
      </c>
    </row>
    <row r="42" spans="1:48" ht="69" x14ac:dyDescent="0.3">
      <c r="A42" s="65">
        <v>38</v>
      </c>
      <c r="B42" s="24" t="s">
        <v>61</v>
      </c>
      <c r="C42" s="24" t="s">
        <v>741</v>
      </c>
      <c r="D42" s="56" t="s">
        <v>742</v>
      </c>
      <c r="E42" s="24" t="s">
        <v>649</v>
      </c>
      <c r="F42" s="24" t="s">
        <v>110</v>
      </c>
      <c r="G42" s="24" t="s">
        <v>183</v>
      </c>
      <c r="H42" s="24" t="s">
        <v>164</v>
      </c>
      <c r="I42" s="24" t="s">
        <v>743</v>
      </c>
      <c r="J42" s="8">
        <v>0.3</v>
      </c>
      <c r="K42" s="24" t="s">
        <v>744</v>
      </c>
      <c r="L42" s="24" t="s">
        <v>745</v>
      </c>
      <c r="M42" s="24" t="s">
        <v>116</v>
      </c>
      <c r="N42" s="24" t="s">
        <v>117</v>
      </c>
      <c r="O42" s="24" t="s">
        <v>187</v>
      </c>
      <c r="P42" s="24" t="s">
        <v>699</v>
      </c>
      <c r="Q42" s="24" t="s">
        <v>120</v>
      </c>
      <c r="R42" s="24" t="s">
        <v>746</v>
      </c>
      <c r="S42" s="24" t="s">
        <v>747</v>
      </c>
      <c r="T42" s="24" t="s">
        <v>748</v>
      </c>
      <c r="U42" s="24" t="s">
        <v>7</v>
      </c>
      <c r="V42" s="24" t="s">
        <v>7</v>
      </c>
      <c r="W42" s="24" t="s">
        <v>749</v>
      </c>
      <c r="X42" s="24" t="s">
        <v>149</v>
      </c>
      <c r="Y42" s="24" t="s">
        <v>150</v>
      </c>
      <c r="Z42" s="24" t="s">
        <v>195</v>
      </c>
      <c r="AA42" s="24" t="s">
        <v>7</v>
      </c>
      <c r="AB42" s="24" t="s">
        <v>126</v>
      </c>
      <c r="AC42" s="24" t="s">
        <v>7</v>
      </c>
      <c r="AD42" s="24" t="s">
        <v>7</v>
      </c>
      <c r="AE42" s="24" t="s">
        <v>750</v>
      </c>
      <c r="AF42" s="24" t="s">
        <v>7</v>
      </c>
      <c r="AG42" s="24" t="s">
        <v>7</v>
      </c>
      <c r="AH42" s="24" t="s">
        <v>7</v>
      </c>
      <c r="AI42" s="24" t="s">
        <v>7</v>
      </c>
      <c r="AJ42" s="35" t="s">
        <v>751</v>
      </c>
      <c r="AK42" s="56" t="s">
        <v>7</v>
      </c>
      <c r="AL42" s="56" t="s">
        <v>7</v>
      </c>
      <c r="AM42" s="56" t="s">
        <v>7</v>
      </c>
      <c r="AN42" s="56" t="s">
        <v>13</v>
      </c>
      <c r="AO42" s="56" t="s">
        <v>7</v>
      </c>
      <c r="AP42" s="56" t="s">
        <v>7</v>
      </c>
      <c r="AQ42" s="56" t="s">
        <v>13</v>
      </c>
      <c r="AR42" s="56" t="s">
        <v>7</v>
      </c>
      <c r="AS42" s="56" t="s">
        <v>7</v>
      </c>
      <c r="AT42" s="56" t="s">
        <v>7</v>
      </c>
      <c r="AU42" s="56" t="s">
        <v>7</v>
      </c>
      <c r="AV42" s="66" t="s">
        <v>21</v>
      </c>
    </row>
    <row r="43" spans="1:48" ht="69" x14ac:dyDescent="0.3">
      <c r="A43" s="65">
        <v>39</v>
      </c>
      <c r="B43" s="24" t="s">
        <v>62</v>
      </c>
      <c r="C43" s="24" t="s">
        <v>752</v>
      </c>
      <c r="D43" s="56" t="s">
        <v>180</v>
      </c>
      <c r="E43" s="24" t="s">
        <v>753</v>
      </c>
      <c r="F43" s="24" t="s">
        <v>137</v>
      </c>
      <c r="G43" s="24" t="s">
        <v>111</v>
      </c>
      <c r="H43" s="24" t="s">
        <v>112</v>
      </c>
      <c r="I43" s="10" t="s">
        <v>754</v>
      </c>
      <c r="J43" s="8" t="s">
        <v>755</v>
      </c>
      <c r="K43" s="41" t="s">
        <v>756</v>
      </c>
      <c r="L43" s="24" t="s">
        <v>757</v>
      </c>
      <c r="M43" s="24" t="s">
        <v>116</v>
      </c>
      <c r="N43" s="24" t="s">
        <v>117</v>
      </c>
      <c r="O43" s="24" t="s">
        <v>758</v>
      </c>
      <c r="P43" s="24" t="s">
        <v>759</v>
      </c>
      <c r="Q43" s="24" t="s">
        <v>120</v>
      </c>
      <c r="R43" s="24" t="s">
        <v>760</v>
      </c>
      <c r="S43" s="24" t="s">
        <v>761</v>
      </c>
      <c r="T43" s="24"/>
      <c r="U43" s="24"/>
      <c r="V43" s="24"/>
      <c r="W43" s="24"/>
      <c r="X43" s="24" t="s">
        <v>400</v>
      </c>
      <c r="Y43" s="24" t="s">
        <v>7</v>
      </c>
      <c r="Z43" s="24" t="s">
        <v>560</v>
      </c>
      <c r="AA43" s="24" t="s">
        <v>762</v>
      </c>
      <c r="AB43" s="24" t="s">
        <v>511</v>
      </c>
      <c r="AC43" s="24"/>
      <c r="AD43" s="24" t="s">
        <v>127</v>
      </c>
      <c r="AE43" s="24"/>
      <c r="AF43" s="24"/>
      <c r="AG43" s="24" t="s">
        <v>763</v>
      </c>
      <c r="AH43" s="24" t="s">
        <v>764</v>
      </c>
      <c r="AI43" s="24"/>
      <c r="AJ43" s="16" t="s">
        <v>765</v>
      </c>
      <c r="AK43" s="56" t="s">
        <v>7</v>
      </c>
      <c r="AL43" s="56" t="s">
        <v>7</v>
      </c>
      <c r="AM43" s="56" t="s">
        <v>7</v>
      </c>
      <c r="AN43" s="56" t="s">
        <v>13</v>
      </c>
      <c r="AO43" s="56" t="s">
        <v>7</v>
      </c>
      <c r="AP43" s="56" t="s">
        <v>7</v>
      </c>
      <c r="AQ43" s="56" t="s">
        <v>7</v>
      </c>
      <c r="AR43" s="56" t="s">
        <v>7</v>
      </c>
      <c r="AS43" s="56" t="s">
        <v>7</v>
      </c>
      <c r="AT43" s="56" t="s">
        <v>7</v>
      </c>
      <c r="AU43" s="56" t="s">
        <v>7</v>
      </c>
      <c r="AV43" s="66" t="s">
        <v>21</v>
      </c>
    </row>
    <row r="44" spans="1:48" ht="34.5" x14ac:dyDescent="0.3">
      <c r="A44" s="65">
        <v>40</v>
      </c>
      <c r="B44" s="24" t="s">
        <v>63</v>
      </c>
      <c r="C44" s="24" t="s">
        <v>766</v>
      </c>
      <c r="D44" s="56" t="s">
        <v>135</v>
      </c>
      <c r="E44" s="24" t="s">
        <v>136</v>
      </c>
      <c r="F44" s="24" t="s">
        <v>110</v>
      </c>
      <c r="G44" s="24" t="s">
        <v>111</v>
      </c>
      <c r="H44" s="24" t="s">
        <v>112</v>
      </c>
      <c r="I44" s="24" t="s">
        <v>767</v>
      </c>
      <c r="J44" s="8">
        <v>1.8</v>
      </c>
      <c r="K44" s="24" t="s">
        <v>768</v>
      </c>
      <c r="L44" s="24" t="s">
        <v>769</v>
      </c>
      <c r="M44" s="24" t="s">
        <v>537</v>
      </c>
      <c r="N44" s="24" t="s">
        <v>117</v>
      </c>
      <c r="O44" s="24" t="s">
        <v>187</v>
      </c>
      <c r="P44" s="24" t="s">
        <v>770</v>
      </c>
      <c r="Q44" s="24" t="s">
        <v>120</v>
      </c>
      <c r="R44" s="24" t="s">
        <v>771</v>
      </c>
      <c r="S44" s="24" t="s">
        <v>772</v>
      </c>
      <c r="T44" s="24" t="s">
        <v>773</v>
      </c>
      <c r="U44" s="24"/>
      <c r="V44" s="24"/>
      <c r="W44" s="24" t="s">
        <v>774</v>
      </c>
      <c r="X44" s="24" t="s">
        <v>7</v>
      </c>
      <c r="Y44" s="24" t="s">
        <v>7</v>
      </c>
      <c r="Z44" s="24" t="s">
        <v>775</v>
      </c>
      <c r="AA44" s="24" t="s">
        <v>7</v>
      </c>
      <c r="AB44" s="24" t="s">
        <v>126</v>
      </c>
      <c r="AC44" s="24" t="s">
        <v>7</v>
      </c>
      <c r="AD44" s="24" t="s">
        <v>776</v>
      </c>
      <c r="AE44" s="24" t="s">
        <v>216</v>
      </c>
      <c r="AF44" s="24" t="s">
        <v>777</v>
      </c>
      <c r="AG44" s="24" t="s">
        <v>778</v>
      </c>
      <c r="AH44" s="24" t="s">
        <v>255</v>
      </c>
      <c r="AI44" s="24" t="s">
        <v>779</v>
      </c>
      <c r="AJ44" s="16" t="s">
        <v>780</v>
      </c>
      <c r="AK44" s="56" t="s">
        <v>7</v>
      </c>
      <c r="AL44" s="56" t="s">
        <v>7</v>
      </c>
      <c r="AM44" s="56" t="s">
        <v>7</v>
      </c>
      <c r="AN44" s="56" t="s">
        <v>13</v>
      </c>
      <c r="AO44" s="56" t="s">
        <v>7</v>
      </c>
      <c r="AP44" s="56" t="s">
        <v>7</v>
      </c>
      <c r="AQ44" s="56" t="s">
        <v>7</v>
      </c>
      <c r="AR44" s="56" t="s">
        <v>7</v>
      </c>
      <c r="AS44" s="56" t="s">
        <v>7</v>
      </c>
      <c r="AT44" s="56" t="s">
        <v>7</v>
      </c>
      <c r="AU44" s="56" t="s">
        <v>7</v>
      </c>
      <c r="AV44" s="66" t="s">
        <v>21</v>
      </c>
    </row>
    <row r="45" spans="1:48" ht="103.5" x14ac:dyDescent="0.3">
      <c r="A45" s="65">
        <v>42</v>
      </c>
      <c r="B45" s="24" t="s">
        <v>64</v>
      </c>
      <c r="C45" s="24" t="s">
        <v>781</v>
      </c>
      <c r="D45" s="56" t="s">
        <v>782</v>
      </c>
      <c r="E45" s="24" t="s">
        <v>783</v>
      </c>
      <c r="F45" s="24" t="s">
        <v>205</v>
      </c>
      <c r="G45" s="24" t="s">
        <v>366</v>
      </c>
      <c r="H45" s="24" t="s">
        <v>112</v>
      </c>
      <c r="I45" s="24" t="s">
        <v>784</v>
      </c>
      <c r="J45" s="8">
        <v>4</v>
      </c>
      <c r="K45" s="41" t="s">
        <v>785</v>
      </c>
      <c r="L45" s="24" t="s">
        <v>786</v>
      </c>
      <c r="M45" s="24" t="s">
        <v>787</v>
      </c>
      <c r="N45" s="24" t="s">
        <v>714</v>
      </c>
      <c r="O45" s="24" t="s">
        <v>788</v>
      </c>
      <c r="P45" s="24" t="s">
        <v>789</v>
      </c>
      <c r="Q45" s="24" t="s">
        <v>523</v>
      </c>
      <c r="R45" s="24" t="s">
        <v>790</v>
      </c>
      <c r="S45" s="24" t="s">
        <v>791</v>
      </c>
      <c r="T45" s="24" t="s">
        <v>792</v>
      </c>
      <c r="U45" s="24"/>
      <c r="V45" s="24"/>
      <c r="W45" s="24" t="s">
        <v>793</v>
      </c>
      <c r="X45" s="24" t="s">
        <v>794</v>
      </c>
      <c r="Y45" s="24" t="s">
        <v>7</v>
      </c>
      <c r="Z45" s="24" t="s">
        <v>560</v>
      </c>
      <c r="AA45" s="24" t="s">
        <v>7</v>
      </c>
      <c r="AB45" s="24" t="s">
        <v>7</v>
      </c>
      <c r="AC45" s="24" t="s">
        <v>7</v>
      </c>
      <c r="AD45" s="24" t="s">
        <v>795</v>
      </c>
      <c r="AE45" s="24" t="s">
        <v>659</v>
      </c>
      <c r="AF45" s="24"/>
      <c r="AG45" s="24" t="s">
        <v>200</v>
      </c>
      <c r="AH45" s="24" t="s">
        <v>233</v>
      </c>
      <c r="AI45" s="24" t="s">
        <v>796</v>
      </c>
      <c r="AJ45" s="16" t="s">
        <v>797</v>
      </c>
      <c r="AK45" s="56" t="s">
        <v>7</v>
      </c>
      <c r="AL45" s="56" t="s">
        <v>7</v>
      </c>
      <c r="AM45" s="56" t="s">
        <v>7</v>
      </c>
      <c r="AN45" s="56" t="s">
        <v>13</v>
      </c>
      <c r="AO45" s="56" t="s">
        <v>7</v>
      </c>
      <c r="AP45" s="56" t="s">
        <v>7</v>
      </c>
      <c r="AQ45" s="56" t="s">
        <v>7</v>
      </c>
      <c r="AR45" s="56" t="s">
        <v>7</v>
      </c>
      <c r="AS45" s="56" t="s">
        <v>7</v>
      </c>
      <c r="AT45" s="56" t="s">
        <v>13</v>
      </c>
      <c r="AU45" s="56" t="s">
        <v>7</v>
      </c>
      <c r="AV45" s="66" t="s">
        <v>21</v>
      </c>
    </row>
    <row r="46" spans="1:48" ht="34.5" x14ac:dyDescent="0.3">
      <c r="A46" s="65">
        <v>43</v>
      </c>
      <c r="B46" s="24" t="s">
        <v>65</v>
      </c>
      <c r="C46" s="24" t="s">
        <v>634</v>
      </c>
      <c r="D46" s="56" t="s">
        <v>135</v>
      </c>
      <c r="E46" s="24" t="s">
        <v>136</v>
      </c>
      <c r="F46" s="24" t="s">
        <v>182</v>
      </c>
      <c r="G46" s="24" t="s">
        <v>366</v>
      </c>
      <c r="H46" s="24" t="s">
        <v>112</v>
      </c>
      <c r="I46" s="24" t="s">
        <v>798</v>
      </c>
      <c r="J46" s="8">
        <v>1.8</v>
      </c>
      <c r="K46" s="24" t="s">
        <v>799</v>
      </c>
      <c r="L46" s="24" t="s">
        <v>800</v>
      </c>
      <c r="M46" s="24" t="s">
        <v>537</v>
      </c>
      <c r="N46" s="24" t="s">
        <v>264</v>
      </c>
      <c r="O46" s="24" t="s">
        <v>141</v>
      </c>
      <c r="P46" s="24" t="s">
        <v>239</v>
      </c>
      <c r="Q46" s="24" t="s">
        <v>120</v>
      </c>
      <c r="R46" s="24" t="s">
        <v>801</v>
      </c>
      <c r="S46" s="24" t="s">
        <v>802</v>
      </c>
      <c r="T46" s="24" t="s">
        <v>803</v>
      </c>
      <c r="U46" s="24"/>
      <c r="V46" s="24" t="s">
        <v>804</v>
      </c>
      <c r="W46" s="24"/>
      <c r="X46" s="24" t="s">
        <v>400</v>
      </c>
      <c r="Y46" s="24" t="s">
        <v>7</v>
      </c>
      <c r="Z46" s="24" t="s">
        <v>268</v>
      </c>
      <c r="AA46" s="24" t="s">
        <v>7</v>
      </c>
      <c r="AB46" s="42">
        <v>0.01</v>
      </c>
      <c r="AC46" s="24" t="s">
        <v>7</v>
      </c>
      <c r="AD46" s="24" t="s">
        <v>805</v>
      </c>
      <c r="AE46" s="24" t="s">
        <v>216</v>
      </c>
      <c r="AF46" s="24" t="s">
        <v>806</v>
      </c>
      <c r="AG46" s="24" t="s">
        <v>200</v>
      </c>
      <c r="AH46" s="24" t="s">
        <v>807</v>
      </c>
      <c r="AI46" s="24" t="s">
        <v>808</v>
      </c>
      <c r="AJ46" s="16" t="s">
        <v>809</v>
      </c>
      <c r="AK46" s="56" t="s">
        <v>7</v>
      </c>
      <c r="AL46" s="56" t="s">
        <v>7</v>
      </c>
      <c r="AM46" s="56" t="s">
        <v>7</v>
      </c>
      <c r="AN46" s="56" t="s">
        <v>13</v>
      </c>
      <c r="AO46" s="56" t="s">
        <v>7</v>
      </c>
      <c r="AP46" s="56" t="s">
        <v>7</v>
      </c>
      <c r="AQ46" s="56" t="s">
        <v>7</v>
      </c>
      <c r="AR46" s="56" t="s">
        <v>7</v>
      </c>
      <c r="AS46" s="56" t="s">
        <v>7</v>
      </c>
      <c r="AT46" s="56" t="s">
        <v>7</v>
      </c>
      <c r="AU46" s="56" t="s">
        <v>7</v>
      </c>
      <c r="AV46" s="66" t="s">
        <v>21</v>
      </c>
    </row>
    <row r="47" spans="1:48" ht="69" x14ac:dyDescent="0.3">
      <c r="A47" s="65">
        <v>44</v>
      </c>
      <c r="B47" s="24" t="s">
        <v>66</v>
      </c>
      <c r="C47" s="24" t="s">
        <v>634</v>
      </c>
      <c r="D47" s="56" t="s">
        <v>727</v>
      </c>
      <c r="E47" s="24" t="s">
        <v>810</v>
      </c>
      <c r="F47" s="24" t="s">
        <v>182</v>
      </c>
      <c r="G47" s="24" t="s">
        <v>366</v>
      </c>
      <c r="H47" s="24" t="s">
        <v>112</v>
      </c>
      <c r="I47" s="24" t="s">
        <v>811</v>
      </c>
      <c r="J47" s="8">
        <v>1.5</v>
      </c>
      <c r="K47" s="41" t="s">
        <v>812</v>
      </c>
      <c r="L47" s="24" t="s">
        <v>813</v>
      </c>
      <c r="M47" s="24" t="s">
        <v>537</v>
      </c>
      <c r="N47" s="24" t="s">
        <v>264</v>
      </c>
      <c r="O47" s="24" t="s">
        <v>141</v>
      </c>
      <c r="P47" s="24" t="s">
        <v>239</v>
      </c>
      <c r="Q47" s="24" t="s">
        <v>120</v>
      </c>
      <c r="R47" s="24" t="s">
        <v>814</v>
      </c>
      <c r="S47" s="24" t="s">
        <v>815</v>
      </c>
      <c r="T47" s="24" t="s">
        <v>816</v>
      </c>
      <c r="U47" s="24"/>
      <c r="V47" s="24" t="s">
        <v>804</v>
      </c>
      <c r="W47" s="24"/>
      <c r="X47" s="24" t="s">
        <v>7</v>
      </c>
      <c r="Y47" s="24" t="s">
        <v>7</v>
      </c>
      <c r="Z47" s="24" t="s">
        <v>268</v>
      </c>
      <c r="AA47" s="24" t="s">
        <v>7</v>
      </c>
      <c r="AB47" s="24" t="s">
        <v>7</v>
      </c>
      <c r="AC47" s="24" t="s">
        <v>7</v>
      </c>
      <c r="AD47" s="24" t="s">
        <v>817</v>
      </c>
      <c r="AE47" s="24"/>
      <c r="AF47" s="24"/>
      <c r="AG47" s="24"/>
      <c r="AH47" s="24" t="s">
        <v>255</v>
      </c>
      <c r="AI47" s="24"/>
      <c r="AJ47" s="16" t="s">
        <v>818</v>
      </c>
      <c r="AK47" s="56" t="s">
        <v>7</v>
      </c>
      <c r="AL47" s="56" t="s">
        <v>7</v>
      </c>
      <c r="AM47" s="56" t="s">
        <v>7</v>
      </c>
      <c r="AN47" s="56" t="s">
        <v>13</v>
      </c>
      <c r="AO47" s="56" t="s">
        <v>7</v>
      </c>
      <c r="AP47" s="56" t="s">
        <v>7</v>
      </c>
      <c r="AQ47" s="56" t="s">
        <v>7</v>
      </c>
      <c r="AR47" s="56" t="s">
        <v>7</v>
      </c>
      <c r="AS47" s="56" t="s">
        <v>7</v>
      </c>
      <c r="AT47" s="56" t="s">
        <v>7</v>
      </c>
      <c r="AU47" s="56" t="s">
        <v>7</v>
      </c>
      <c r="AV47" s="66" t="s">
        <v>21</v>
      </c>
    </row>
    <row r="48" spans="1:48" ht="69" x14ac:dyDescent="0.3">
      <c r="A48" s="65">
        <v>48</v>
      </c>
      <c r="B48" s="45" t="s">
        <v>67</v>
      </c>
      <c r="C48" s="24" t="s">
        <v>819</v>
      </c>
      <c r="D48" s="56" t="s">
        <v>180</v>
      </c>
      <c r="E48" s="24" t="s">
        <v>7</v>
      </c>
      <c r="F48" s="24" t="s">
        <v>247</v>
      </c>
      <c r="G48" s="24" t="s">
        <v>366</v>
      </c>
      <c r="H48" s="24" t="s">
        <v>112</v>
      </c>
      <c r="I48" s="24" t="s">
        <v>820</v>
      </c>
      <c r="J48" s="8" t="s">
        <v>821</v>
      </c>
      <c r="K48" s="24" t="s">
        <v>822</v>
      </c>
      <c r="L48" s="24" t="s">
        <v>823</v>
      </c>
      <c r="M48" s="24" t="s">
        <v>116</v>
      </c>
      <c r="N48" s="24" t="s">
        <v>824</v>
      </c>
      <c r="O48" s="24" t="s">
        <v>265</v>
      </c>
      <c r="P48" s="24" t="s">
        <v>266</v>
      </c>
      <c r="Q48" s="24" t="s">
        <v>120</v>
      </c>
      <c r="R48" s="24" t="s">
        <v>825</v>
      </c>
      <c r="S48" s="24" t="s">
        <v>826</v>
      </c>
      <c r="T48" s="24" t="s">
        <v>827</v>
      </c>
      <c r="U48" s="24"/>
      <c r="V48" s="24"/>
      <c r="W48" s="24" t="s">
        <v>828</v>
      </c>
      <c r="X48" s="24" t="s">
        <v>829</v>
      </c>
      <c r="Y48" s="24" t="s">
        <v>7</v>
      </c>
      <c r="Z48" s="24" t="s">
        <v>830</v>
      </c>
      <c r="AA48" s="24" t="s">
        <v>7</v>
      </c>
      <c r="AB48" s="24" t="s">
        <v>7</v>
      </c>
      <c r="AC48" s="24" t="s">
        <v>7</v>
      </c>
      <c r="AD48" s="46" t="s">
        <v>831</v>
      </c>
      <c r="AE48" s="10" t="s">
        <v>832</v>
      </c>
      <c r="AF48" s="24"/>
      <c r="AG48" s="10" t="s">
        <v>833</v>
      </c>
      <c r="AH48" s="24" t="s">
        <v>255</v>
      </c>
      <c r="AI48" s="24">
        <v>8000</v>
      </c>
      <c r="AJ48" s="16" t="s">
        <v>834</v>
      </c>
      <c r="AK48" s="56" t="s">
        <v>13</v>
      </c>
      <c r="AL48" s="56" t="s">
        <v>7</v>
      </c>
      <c r="AM48" s="56" t="s">
        <v>7</v>
      </c>
      <c r="AN48" s="56" t="s">
        <v>7</v>
      </c>
      <c r="AO48" s="56" t="s">
        <v>7</v>
      </c>
      <c r="AP48" s="56" t="s">
        <v>7</v>
      </c>
      <c r="AQ48" s="56" t="s">
        <v>7</v>
      </c>
      <c r="AR48" s="56" t="s">
        <v>7</v>
      </c>
      <c r="AS48" s="56" t="s">
        <v>7</v>
      </c>
      <c r="AT48" s="56" t="s">
        <v>7</v>
      </c>
      <c r="AU48" s="56" t="s">
        <v>7</v>
      </c>
      <c r="AV48" s="66" t="s">
        <v>21</v>
      </c>
    </row>
    <row r="49" spans="1:48" ht="34.5" x14ac:dyDescent="0.3">
      <c r="A49" s="65">
        <v>49</v>
      </c>
      <c r="B49" s="24" t="s">
        <v>68</v>
      </c>
      <c r="C49" s="24" t="s">
        <v>835</v>
      </c>
      <c r="D49" s="56" t="s">
        <v>296</v>
      </c>
      <c r="E49" s="24" t="s">
        <v>836</v>
      </c>
      <c r="F49" s="24" t="s">
        <v>247</v>
      </c>
      <c r="G49" s="24" t="s">
        <v>366</v>
      </c>
      <c r="H49" s="24" t="s">
        <v>112</v>
      </c>
      <c r="I49" s="24" t="s">
        <v>837</v>
      </c>
      <c r="J49" s="8">
        <v>2.5</v>
      </c>
      <c r="K49" s="24" t="s">
        <v>838</v>
      </c>
      <c r="L49" s="24" t="s">
        <v>839</v>
      </c>
      <c r="M49" s="24" t="s">
        <v>116</v>
      </c>
      <c r="N49" s="24" t="s">
        <v>824</v>
      </c>
      <c r="O49" s="37" t="s">
        <v>840</v>
      </c>
      <c r="P49" s="24" t="s">
        <v>210</v>
      </c>
      <c r="Q49" s="24" t="s">
        <v>120</v>
      </c>
      <c r="R49" s="24" t="s">
        <v>841</v>
      </c>
      <c r="S49" s="24" t="s">
        <v>842</v>
      </c>
      <c r="T49" s="24" t="s">
        <v>843</v>
      </c>
      <c r="U49" s="24"/>
      <c r="V49" s="24"/>
      <c r="W49" s="24" t="s">
        <v>844</v>
      </c>
      <c r="X49" s="24" t="s">
        <v>845</v>
      </c>
      <c r="Y49" s="24" t="s">
        <v>7</v>
      </c>
      <c r="Z49" s="24" t="s">
        <v>846</v>
      </c>
      <c r="AA49" s="24" t="s">
        <v>7</v>
      </c>
      <c r="AB49" s="24" t="s">
        <v>847</v>
      </c>
      <c r="AC49" s="24" t="s">
        <v>7</v>
      </c>
      <c r="AD49" s="24" t="s">
        <v>848</v>
      </c>
      <c r="AE49" s="24"/>
      <c r="AF49" s="24"/>
      <c r="AG49" s="24" t="s">
        <v>200</v>
      </c>
      <c r="AH49" s="24"/>
      <c r="AI49" s="24"/>
      <c r="AJ49" s="16" t="s">
        <v>849</v>
      </c>
      <c r="AK49" s="56" t="s">
        <v>7</v>
      </c>
      <c r="AL49" s="56" t="s">
        <v>7</v>
      </c>
      <c r="AM49" s="56" t="s">
        <v>7</v>
      </c>
      <c r="AN49" s="56" t="s">
        <v>13</v>
      </c>
      <c r="AO49" s="56" t="s">
        <v>7</v>
      </c>
      <c r="AP49" s="56" t="s">
        <v>7</v>
      </c>
      <c r="AQ49" s="56" t="s">
        <v>7</v>
      </c>
      <c r="AR49" s="56" t="s">
        <v>7</v>
      </c>
      <c r="AS49" s="56" t="s">
        <v>7</v>
      </c>
      <c r="AT49" s="56" t="s">
        <v>7</v>
      </c>
      <c r="AU49" s="56" t="s">
        <v>7</v>
      </c>
      <c r="AV49" s="66" t="s">
        <v>21</v>
      </c>
    </row>
    <row r="50" spans="1:48" ht="86.25" x14ac:dyDescent="0.3">
      <c r="A50" s="65">
        <v>50</v>
      </c>
      <c r="B50" s="24" t="s">
        <v>69</v>
      </c>
      <c r="C50" s="24" t="s">
        <v>850</v>
      </c>
      <c r="D50" s="56" t="s">
        <v>851</v>
      </c>
      <c r="E50" s="24" t="s">
        <v>7</v>
      </c>
      <c r="F50" s="24" t="s">
        <v>852</v>
      </c>
      <c r="G50" s="24" t="s">
        <v>366</v>
      </c>
      <c r="H50" s="24" t="s">
        <v>112</v>
      </c>
      <c r="I50" s="24" t="s">
        <v>853</v>
      </c>
      <c r="J50" s="8">
        <v>2</v>
      </c>
      <c r="K50" s="24" t="s">
        <v>854</v>
      </c>
      <c r="L50" s="24" t="s">
        <v>855</v>
      </c>
      <c r="M50" s="24" t="s">
        <v>116</v>
      </c>
      <c r="N50" s="24" t="s">
        <v>714</v>
      </c>
      <c r="O50" s="24" t="s">
        <v>856</v>
      </c>
      <c r="P50" s="24" t="s">
        <v>857</v>
      </c>
      <c r="Q50" s="24" t="s">
        <v>523</v>
      </c>
      <c r="R50" s="24" t="s">
        <v>7</v>
      </c>
      <c r="S50" s="24" t="s">
        <v>7</v>
      </c>
      <c r="T50" s="24" t="s">
        <v>858</v>
      </c>
      <c r="U50" s="24"/>
      <c r="V50" s="24"/>
      <c r="W50" s="24" t="s">
        <v>859</v>
      </c>
      <c r="X50" s="24" t="s">
        <v>580</v>
      </c>
      <c r="Y50" s="24" t="s">
        <v>194</v>
      </c>
      <c r="Z50" s="24" t="s">
        <v>860</v>
      </c>
      <c r="AA50" s="24" t="s">
        <v>7</v>
      </c>
      <c r="AB50" s="24" t="s">
        <v>7</v>
      </c>
      <c r="AC50" s="24" t="s">
        <v>7</v>
      </c>
      <c r="AD50" s="24" t="s">
        <v>861</v>
      </c>
      <c r="AE50" s="24"/>
      <c r="AF50" s="24"/>
      <c r="AG50" s="24"/>
      <c r="AH50" s="24" t="s">
        <v>255</v>
      </c>
      <c r="AI50" s="24">
        <v>100000</v>
      </c>
      <c r="AJ50" s="16" t="s">
        <v>862</v>
      </c>
      <c r="AK50" s="56" t="s">
        <v>7</v>
      </c>
      <c r="AL50" s="56" t="s">
        <v>7</v>
      </c>
      <c r="AM50" s="56" t="s">
        <v>7</v>
      </c>
      <c r="AN50" s="56" t="s">
        <v>13</v>
      </c>
      <c r="AO50" s="56" t="s">
        <v>7</v>
      </c>
      <c r="AP50" s="56" t="s">
        <v>7</v>
      </c>
      <c r="AQ50" s="56" t="s">
        <v>7</v>
      </c>
      <c r="AR50" s="56" t="s">
        <v>7</v>
      </c>
      <c r="AS50" s="56" t="s">
        <v>7</v>
      </c>
      <c r="AT50" s="56" t="s">
        <v>7</v>
      </c>
      <c r="AU50" s="56" t="s">
        <v>7</v>
      </c>
      <c r="AV50" s="66" t="s">
        <v>21</v>
      </c>
    </row>
    <row r="51" spans="1:48" ht="42" customHeight="1" x14ac:dyDescent="0.3">
      <c r="A51" s="76">
        <v>1</v>
      </c>
      <c r="B51" s="77" t="s">
        <v>70</v>
      </c>
      <c r="C51" s="77" t="s">
        <v>863</v>
      </c>
      <c r="D51" s="78" t="s">
        <v>296</v>
      </c>
      <c r="E51" s="79" t="s">
        <v>275</v>
      </c>
      <c r="F51" s="77" t="s">
        <v>110</v>
      </c>
      <c r="G51" s="77" t="s">
        <v>111</v>
      </c>
      <c r="H51" s="77" t="s">
        <v>112</v>
      </c>
      <c r="I51" s="77" t="s">
        <v>864</v>
      </c>
      <c r="J51" s="80">
        <v>0.73</v>
      </c>
      <c r="K51" s="77" t="s">
        <v>114</v>
      </c>
      <c r="L51" s="77" t="s">
        <v>865</v>
      </c>
      <c r="M51" s="77" t="s">
        <v>116</v>
      </c>
      <c r="N51" s="77" t="s">
        <v>117</v>
      </c>
      <c r="O51" s="77" t="s">
        <v>187</v>
      </c>
      <c r="P51" s="77" t="s">
        <v>466</v>
      </c>
      <c r="Q51" s="77" t="s">
        <v>120</v>
      </c>
      <c r="R51" s="77" t="s">
        <v>866</v>
      </c>
      <c r="S51" s="77" t="s">
        <v>867</v>
      </c>
      <c r="T51" s="77" t="s">
        <v>868</v>
      </c>
      <c r="U51" s="77" t="s">
        <v>869</v>
      </c>
      <c r="V51" s="77" t="s">
        <v>870</v>
      </c>
      <c r="W51" s="77" t="s">
        <v>312</v>
      </c>
      <c r="X51" s="81" t="s">
        <v>400</v>
      </c>
      <c r="Y51" s="77" t="s">
        <v>325</v>
      </c>
      <c r="Z51" s="77" t="s">
        <v>775</v>
      </c>
      <c r="AA51" s="77" t="s">
        <v>7</v>
      </c>
      <c r="AB51" s="77" t="s">
        <v>871</v>
      </c>
      <c r="AC51" s="77" t="s">
        <v>872</v>
      </c>
      <c r="AD51" s="77" t="s">
        <v>873</v>
      </c>
      <c r="AE51" s="77" t="s">
        <v>472</v>
      </c>
      <c r="AF51" s="77" t="s">
        <v>374</v>
      </c>
      <c r="AG51" s="77" t="s">
        <v>874</v>
      </c>
      <c r="AH51" s="77" t="s">
        <v>376</v>
      </c>
      <c r="AI51" s="77" t="s">
        <v>875</v>
      </c>
      <c r="AJ51" s="78" t="s">
        <v>876</v>
      </c>
      <c r="AK51" s="44" t="s">
        <v>7</v>
      </c>
      <c r="AL51" s="44" t="s">
        <v>7</v>
      </c>
      <c r="AM51" s="44" t="s">
        <v>7</v>
      </c>
      <c r="AN51" s="79" t="s">
        <v>71</v>
      </c>
      <c r="AO51" s="44" t="s">
        <v>7</v>
      </c>
      <c r="AP51" s="44" t="s">
        <v>7</v>
      </c>
      <c r="AQ51" s="44" t="s">
        <v>7</v>
      </c>
      <c r="AR51" s="44" t="s">
        <v>7</v>
      </c>
      <c r="AS51" s="44" t="s">
        <v>7</v>
      </c>
      <c r="AT51" s="79" t="s">
        <v>53</v>
      </c>
      <c r="AU51" s="44" t="s">
        <v>7</v>
      </c>
      <c r="AV51" s="82" t="s">
        <v>5</v>
      </c>
    </row>
    <row r="52" spans="1:48" x14ac:dyDescent="0.3">
      <c r="A52" s="65"/>
      <c r="B52" t="s">
        <v>877</v>
      </c>
      <c r="C52" s="24" t="s">
        <v>878</v>
      </c>
      <c r="D52" s="24" t="s">
        <v>878</v>
      </c>
      <c r="E52" s="24" t="s">
        <v>878</v>
      </c>
      <c r="F52" s="24" t="s">
        <v>878</v>
      </c>
      <c r="G52" s="24" t="s">
        <v>878</v>
      </c>
      <c r="H52" s="24" t="s">
        <v>878</v>
      </c>
      <c r="I52" s="24" t="s">
        <v>878</v>
      </c>
      <c r="J52" s="24" t="s">
        <v>878</v>
      </c>
      <c r="K52" s="24" t="s">
        <v>878</v>
      </c>
      <c r="L52" s="24" t="s">
        <v>878</v>
      </c>
      <c r="M52" s="24" t="s">
        <v>878</v>
      </c>
      <c r="N52" s="24" t="s">
        <v>878</v>
      </c>
      <c r="O52" s="24" t="s">
        <v>878</v>
      </c>
      <c r="P52" s="24" t="s">
        <v>878</v>
      </c>
      <c r="Q52" s="24" t="s">
        <v>878</v>
      </c>
      <c r="R52" s="24" t="s">
        <v>878</v>
      </c>
      <c r="S52" s="24" t="s">
        <v>878</v>
      </c>
      <c r="T52" s="24" t="s">
        <v>878</v>
      </c>
      <c r="U52" s="24" t="s">
        <v>878</v>
      </c>
      <c r="V52" s="24" t="s">
        <v>878</v>
      </c>
      <c r="W52" s="24" t="s">
        <v>878</v>
      </c>
      <c r="X52" s="24" t="s">
        <v>878</v>
      </c>
      <c r="Y52" s="24" t="s">
        <v>878</v>
      </c>
      <c r="Z52" s="24" t="s">
        <v>878</v>
      </c>
      <c r="AA52" s="24" t="s">
        <v>878</v>
      </c>
      <c r="AB52" s="24" t="s">
        <v>878</v>
      </c>
      <c r="AC52" s="24" t="s">
        <v>878</v>
      </c>
      <c r="AD52" s="24" t="s">
        <v>878</v>
      </c>
      <c r="AE52" s="24" t="s">
        <v>878</v>
      </c>
      <c r="AF52" s="24" t="s">
        <v>878</v>
      </c>
      <c r="AG52" s="24" t="s">
        <v>878</v>
      </c>
      <c r="AH52" s="24" t="s">
        <v>878</v>
      </c>
      <c r="AI52" s="24" t="s">
        <v>878</v>
      </c>
      <c r="AJ52" s="24" t="s">
        <v>878</v>
      </c>
      <c r="AK52" s="24" t="s">
        <v>878</v>
      </c>
      <c r="AL52" s="24" t="s">
        <v>878</v>
      </c>
      <c r="AM52" s="24" t="s">
        <v>878</v>
      </c>
      <c r="AN52" s="24" t="s">
        <v>878</v>
      </c>
      <c r="AO52" s="24" t="s">
        <v>878</v>
      </c>
      <c r="AP52" s="24" t="s">
        <v>878</v>
      </c>
      <c r="AQ52" s="24" t="s">
        <v>878</v>
      </c>
      <c r="AR52" s="24" t="s">
        <v>878</v>
      </c>
      <c r="AS52" s="24" t="s">
        <v>878</v>
      </c>
      <c r="AT52" s="24" t="s">
        <v>878</v>
      </c>
      <c r="AU52" s="24" t="s">
        <v>878</v>
      </c>
      <c r="AV52" s="66"/>
    </row>
    <row r="54" spans="1:48" x14ac:dyDescent="0.3">
      <c r="A54" s="84" t="s">
        <v>21</v>
      </c>
      <c r="B54" s="85" t="s">
        <v>5</v>
      </c>
      <c r="C54" t="s">
        <v>877</v>
      </c>
    </row>
    <row r="55" spans="1:48" x14ac:dyDescent="0.3">
      <c r="A55" s="86" t="s">
        <v>20</v>
      </c>
      <c r="B55" s="48" t="s">
        <v>4</v>
      </c>
    </row>
    <row r="56" spans="1:48" x14ac:dyDescent="0.3">
      <c r="A56" s="24" t="s">
        <v>22</v>
      </c>
      <c r="B56" s="48" t="s">
        <v>29</v>
      </c>
      <c r="E56" t="s">
        <v>879</v>
      </c>
    </row>
    <row r="57" spans="1:48" x14ac:dyDescent="0.3">
      <c r="A57" s="86" t="s">
        <v>23</v>
      </c>
      <c r="B57" s="86" t="s">
        <v>30</v>
      </c>
      <c r="E57" s="139" t="s">
        <v>6</v>
      </c>
    </row>
    <row r="58" spans="1:48" x14ac:dyDescent="0.3">
      <c r="A58" s="24" t="s">
        <v>24</v>
      </c>
      <c r="B58" s="24" t="s">
        <v>31</v>
      </c>
      <c r="E58" s="139" t="s">
        <v>8</v>
      </c>
    </row>
    <row r="59" spans="1:48" x14ac:dyDescent="0.3">
      <c r="A59" s="86" t="s">
        <v>25</v>
      </c>
      <c r="B59" s="86" t="s">
        <v>32</v>
      </c>
      <c r="E59" s="139" t="s">
        <v>9</v>
      </c>
    </row>
    <row r="60" spans="1:48" x14ac:dyDescent="0.3">
      <c r="A60" s="24" t="s">
        <v>26</v>
      </c>
      <c r="B60" s="24" t="s">
        <v>33</v>
      </c>
      <c r="E60" s="139" t="s">
        <v>10</v>
      </c>
    </row>
    <row r="61" spans="1:48" x14ac:dyDescent="0.3">
      <c r="A61" s="86" t="s">
        <v>27</v>
      </c>
      <c r="B61" s="48" t="s">
        <v>34</v>
      </c>
      <c r="E61" s="139" t="s">
        <v>12</v>
      </c>
      <c r="G61" s="151"/>
    </row>
    <row r="62" spans="1:48" x14ac:dyDescent="0.3">
      <c r="A62" s="24" t="s">
        <v>28</v>
      </c>
      <c r="B62" s="24" t="s">
        <v>35</v>
      </c>
      <c r="E62" s="139" t="s">
        <v>14</v>
      </c>
    </row>
    <row r="63" spans="1:48" x14ac:dyDescent="0.3">
      <c r="A63" s="86" t="s">
        <v>44</v>
      </c>
      <c r="B63" s="48" t="s">
        <v>36</v>
      </c>
      <c r="E63" s="139" t="s">
        <v>15</v>
      </c>
    </row>
    <row r="64" spans="1:48" x14ac:dyDescent="0.3">
      <c r="A64" s="24" t="s">
        <v>45</v>
      </c>
      <c r="B64" s="24" t="s">
        <v>37</v>
      </c>
      <c r="E64" s="139" t="s">
        <v>16</v>
      </c>
    </row>
    <row r="65" spans="1:36" x14ac:dyDescent="0.3">
      <c r="A65" s="86" t="s">
        <v>46</v>
      </c>
      <c r="B65" s="86" t="s">
        <v>38</v>
      </c>
      <c r="E65" s="139" t="s">
        <v>17</v>
      </c>
    </row>
    <row r="66" spans="1:36" x14ac:dyDescent="0.3">
      <c r="A66" s="48" t="s">
        <v>47</v>
      </c>
      <c r="B66" s="24" t="s">
        <v>39</v>
      </c>
      <c r="E66" s="139" t="s">
        <v>18</v>
      </c>
    </row>
    <row r="67" spans="1:36" x14ac:dyDescent="0.3">
      <c r="A67" s="48" t="s">
        <v>48</v>
      </c>
      <c r="B67" s="86" t="s">
        <v>40</v>
      </c>
      <c r="E67" s="139" t="s">
        <v>19</v>
      </c>
      <c r="AJ67" s="40"/>
    </row>
    <row r="68" spans="1:36" x14ac:dyDescent="0.3">
      <c r="A68" s="24" t="s">
        <v>49</v>
      </c>
      <c r="B68" s="48" t="s">
        <v>41</v>
      </c>
    </row>
    <row r="69" spans="1:36" x14ac:dyDescent="0.3">
      <c r="A69" s="48" t="s">
        <v>50</v>
      </c>
      <c r="B69" s="48" t="s">
        <v>42</v>
      </c>
    </row>
    <row r="70" spans="1:36" x14ac:dyDescent="0.3">
      <c r="A70" s="24" t="s">
        <v>51</v>
      </c>
      <c r="B70" s="24" t="s">
        <v>43</v>
      </c>
    </row>
    <row r="71" spans="1:36" x14ac:dyDescent="0.3">
      <c r="A71" s="86" t="s">
        <v>52</v>
      </c>
      <c r="B71" s="48" t="s">
        <v>70</v>
      </c>
    </row>
    <row r="72" spans="1:36" x14ac:dyDescent="0.3">
      <c r="A72" s="24" t="s">
        <v>54</v>
      </c>
    </row>
    <row r="73" spans="1:36" x14ac:dyDescent="0.3">
      <c r="A73" s="86" t="s">
        <v>55</v>
      </c>
    </row>
    <row r="74" spans="1:36" x14ac:dyDescent="0.3">
      <c r="A74" s="148" t="s">
        <v>56</v>
      </c>
    </row>
    <row r="75" spans="1:36" x14ac:dyDescent="0.3">
      <c r="A75" s="86" t="s">
        <v>57</v>
      </c>
    </row>
    <row r="76" spans="1:36" x14ac:dyDescent="0.3">
      <c r="A76" s="24" t="s">
        <v>58</v>
      </c>
    </row>
    <row r="77" spans="1:36" x14ac:dyDescent="0.3">
      <c r="A77" s="86" t="s">
        <v>59</v>
      </c>
    </row>
    <row r="78" spans="1:36" x14ac:dyDescent="0.3">
      <c r="A78" s="24" t="s">
        <v>60</v>
      </c>
    </row>
    <row r="79" spans="1:36" x14ac:dyDescent="0.3">
      <c r="A79" s="86" t="s">
        <v>61</v>
      </c>
    </row>
    <row r="80" spans="1:36" x14ac:dyDescent="0.3">
      <c r="A80" s="24" t="s">
        <v>62</v>
      </c>
    </row>
    <row r="81" spans="1:4" x14ac:dyDescent="0.3">
      <c r="A81" s="86" t="s">
        <v>63</v>
      </c>
    </row>
    <row r="82" spans="1:4" x14ac:dyDescent="0.3">
      <c r="A82" s="24" t="s">
        <v>64</v>
      </c>
      <c r="D82" s="147" t="s">
        <v>662</v>
      </c>
    </row>
    <row r="83" spans="1:4" x14ac:dyDescent="0.3">
      <c r="A83" s="86" t="s">
        <v>65</v>
      </c>
    </row>
    <row r="84" spans="1:4" x14ac:dyDescent="0.3">
      <c r="A84" s="24" t="s">
        <v>66</v>
      </c>
    </row>
    <row r="85" spans="1:4" x14ac:dyDescent="0.3">
      <c r="A85" s="87" t="s">
        <v>67</v>
      </c>
    </row>
    <row r="86" spans="1:4" x14ac:dyDescent="0.3">
      <c r="A86" s="24" t="s">
        <v>68</v>
      </c>
    </row>
    <row r="87" spans="1:4" x14ac:dyDescent="0.3">
      <c r="A87" s="86" t="s">
        <v>69</v>
      </c>
    </row>
  </sheetData>
  <phoneticPr fontId="25" type="noConversion"/>
  <hyperlinks>
    <hyperlink ref="AJ12" r:id="rId1" xr:uid="{4F1EEEFC-0764-4CDC-B9E7-99BB88AAEE4A}"/>
    <hyperlink ref="AJ27" r:id="rId2" xr:uid="{E70BDFE0-D8DD-4F6C-AA7B-812462DC20A6}"/>
    <hyperlink ref="AJ27" r:id="rId3" xr:uid="{99E6E0E3-A909-49CE-9847-312BCD920102}"/>
    <hyperlink ref="AJ31" r:id="rId4" xr:uid="{62199398-B662-4510-9CC2-D765EED94CD9}"/>
    <hyperlink ref="AJ34" r:id="rId5" xr:uid="{5AF6A456-488B-49B8-B001-C468CCA5B10D}"/>
    <hyperlink ref="AJ6" r:id="rId6" xr:uid="{D350F3EC-6440-45E1-B776-3743DEE0DF0D}"/>
    <hyperlink ref="AJ36" r:id="rId7" xr:uid="{8CDE9D83-D709-40E0-8927-CA36AC2E1B30}"/>
    <hyperlink ref="AJ40" r:id="rId8" xr:uid="{1653D9B9-4ED1-4186-977C-D286E3FA17B0}"/>
    <hyperlink ref="AJ41" r:id="rId9" xr:uid="{7B51CCB8-2BF1-4F1B-93E2-DFCACF542D6C}"/>
    <hyperlink ref="AJ42" r:id="rId10" xr:uid="{713A909D-93BF-4F5A-BDF9-9B101DFA3D09}"/>
    <hyperlink ref="AJ35" r:id="rId11" xr:uid="{10CA7FEB-1C17-42F3-8980-26EA0A34B23D}"/>
    <hyperlink ref="AJ44" r:id="rId12" xr:uid="{FCB93D4E-560F-4682-BC3A-A32EFE1B1D41}"/>
    <hyperlink ref="AJ7" r:id="rId13" xr:uid="{D1325E85-9062-4592-9D73-C36D3CDD514A}"/>
    <hyperlink ref="AJ28" r:id="rId14" xr:uid="{C03A29BE-9F80-4671-8C03-D307AB9293ED}"/>
    <hyperlink ref="AJ38" r:id="rId15" xr:uid="{9A9809D9-A745-4744-B9F6-FC49FF3F79F0}"/>
    <hyperlink ref="AJ10" r:id="rId16" xr:uid="{F733D8B8-7697-4416-BEB6-6BFC59E49633}"/>
    <hyperlink ref="AJ50" r:id="rId17" xr:uid="{D27FB0A5-F572-4044-A8B5-F8E75982D073}"/>
    <hyperlink ref="AJ49" r:id="rId18" xr:uid="{C1DCCF3F-B25A-4EB7-A4B4-6D608927E877}"/>
    <hyperlink ref="AJ9" r:id="rId19" xr:uid="{FC50D904-343A-4E7A-898A-AC2BA66553B1}"/>
    <hyperlink ref="AJ8" r:id="rId20" xr:uid="{AB665C43-E0E6-499A-8F2A-BDDDDEB60A6A}"/>
    <hyperlink ref="AJ47" r:id="rId21" xr:uid="{03E3C86D-67DE-48F7-A692-B11B9148E17D}"/>
    <hyperlink ref="AJ46" r:id="rId22" xr:uid="{4C6C16AD-F171-4919-9F14-0247F15D99CF}"/>
    <hyperlink ref="AJ45" r:id="rId23" xr:uid="{F1A16E83-44B5-4412-B9B1-A04DCDAABECA}"/>
    <hyperlink ref="AJ43" r:id="rId24" xr:uid="{78911EDD-27B1-454D-B360-579DE50F2DC3}"/>
    <hyperlink ref="AJ5" r:id="rId25" xr:uid="{B6A769D7-696A-4B6F-A42D-BF7AB280DD5F}"/>
    <hyperlink ref="AJ39" r:id="rId26" display="https://www.sinocare.com/en/proinfo_18.html" xr:uid="{005D581D-8744-4B6C-AC60-16DCC5AC5617}"/>
    <hyperlink ref="AJ4" r:id="rId27" xr:uid="{1F27418D-C1DD-46FE-9898-4D9BAA7F7748}"/>
    <hyperlink ref="AJ3" r:id="rId28" xr:uid="{95248E44-9B4E-4E72-BDD2-E7F910C54AAF}"/>
    <hyperlink ref="AJ33" r:id="rId29" xr:uid="{8A80393E-E521-4C7F-8AF1-C1A01F9CE3C5}"/>
  </hyperlinks>
  <pageMargins left="0.7" right="0.7" top="0.75" bottom="0.75" header="0.3" footer="0.3"/>
  <tableParts count="1">
    <tablePart r:id="rId3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CB9C2-D477-4CE9-910F-B71C7A628451}">
  <sheetPr codeName="Sheet1"/>
  <dimension ref="A1:BH20"/>
  <sheetViews>
    <sheetView workbookViewId="0">
      <selection activeCell="D5" sqref="D5"/>
    </sheetView>
  </sheetViews>
  <sheetFormatPr defaultRowHeight="16.5" x14ac:dyDescent="0.3"/>
  <cols>
    <col min="2" max="2" width="30.25" customWidth="1"/>
    <col min="3" max="3" width="32.75" customWidth="1"/>
    <col min="4" max="4" width="57.375" customWidth="1"/>
    <col min="5" max="5" width="39.875" style="102" customWidth="1"/>
    <col min="6" max="6" width="14" customWidth="1"/>
    <col min="7" max="7" width="12.375" customWidth="1"/>
    <col min="8" max="8" width="15.875" customWidth="1"/>
    <col min="9" max="9" width="16.5" customWidth="1"/>
    <col min="10" max="10" width="14" customWidth="1"/>
    <col min="12" max="12" width="15" customWidth="1"/>
    <col min="13" max="13" width="18.5" customWidth="1"/>
    <col min="14" max="14" width="19.25" customWidth="1"/>
    <col min="18" max="18" width="13.625" customWidth="1"/>
    <col min="19" max="19" width="19.5" customWidth="1"/>
    <col min="20" max="20" width="16.375" customWidth="1"/>
    <col min="21" max="21" width="17.375" customWidth="1"/>
    <col min="22" max="22" width="13.625" customWidth="1"/>
    <col min="23" max="24" width="18.25" customWidth="1"/>
    <col min="25" max="25" width="13.875" customWidth="1"/>
    <col min="26" max="26" width="12.75" customWidth="1"/>
    <col min="27" max="27" width="11.75" customWidth="1"/>
    <col min="28" max="28" width="11.5" customWidth="1"/>
    <col min="29" max="29" width="12.75" customWidth="1"/>
    <col min="30" max="31" width="12.25" customWidth="1"/>
    <col min="32" max="32" width="13.5" customWidth="1"/>
    <col min="33" max="33" width="14.375" customWidth="1"/>
    <col min="42" max="42" width="30" customWidth="1"/>
    <col min="43" max="43" width="32" customWidth="1"/>
    <col min="48" max="48" width="16.5" customWidth="1"/>
    <col min="50" max="50" width="10.625" customWidth="1"/>
    <col min="53" max="53" width="24.375" customWidth="1"/>
    <col min="54" max="54" width="17.625" customWidth="1"/>
    <col min="59" max="59" width="26" customWidth="1"/>
  </cols>
  <sheetData>
    <row r="1" spans="1:60" x14ac:dyDescent="0.3">
      <c r="A1" s="190" t="s">
        <v>880</v>
      </c>
      <c r="B1" s="191" t="s">
        <v>0</v>
      </c>
      <c r="C1" s="193" t="s">
        <v>881</v>
      </c>
      <c r="D1" s="194"/>
      <c r="E1" s="194"/>
      <c r="F1" s="194"/>
      <c r="G1" s="194"/>
      <c r="H1" s="194"/>
      <c r="I1" s="194"/>
      <c r="J1" s="194"/>
      <c r="K1" s="195"/>
      <c r="L1" s="196" t="s">
        <v>882</v>
      </c>
      <c r="M1" s="196"/>
      <c r="N1" s="196"/>
      <c r="O1" s="196"/>
      <c r="P1" s="196"/>
      <c r="Q1" s="197"/>
      <c r="R1" s="198" t="s">
        <v>883</v>
      </c>
      <c r="S1" s="199"/>
      <c r="T1" s="199"/>
      <c r="U1" s="199"/>
      <c r="V1" s="199"/>
      <c r="W1" s="199"/>
      <c r="X1" s="199"/>
      <c r="Y1" s="199"/>
      <c r="Z1" s="182" t="s">
        <v>884</v>
      </c>
      <c r="AA1" s="182"/>
      <c r="AB1" s="182"/>
      <c r="AC1" s="183"/>
      <c r="AD1" s="11" t="s">
        <v>885</v>
      </c>
      <c r="AE1" s="11"/>
      <c r="AF1" s="11"/>
      <c r="AG1" s="11"/>
      <c r="AH1" s="11"/>
      <c r="AI1" s="11"/>
      <c r="AJ1" s="184" t="s">
        <v>106</v>
      </c>
      <c r="AK1" s="185"/>
      <c r="AL1" s="186"/>
      <c r="AM1" s="176" t="s">
        <v>886</v>
      </c>
      <c r="AN1" s="177"/>
      <c r="AO1" s="177"/>
      <c r="AP1" s="177"/>
      <c r="AQ1" s="177"/>
      <c r="AR1" s="177"/>
      <c r="AS1" s="177"/>
      <c r="AT1" s="177"/>
      <c r="AU1" s="177"/>
      <c r="AV1" s="177"/>
      <c r="AW1" s="177"/>
      <c r="AX1" s="178" t="s">
        <v>887</v>
      </c>
      <c r="AY1" s="178"/>
      <c r="AZ1" s="178"/>
      <c r="BA1" s="178"/>
      <c r="BB1" s="178"/>
      <c r="BC1" s="178"/>
      <c r="BD1" s="178"/>
      <c r="BE1" s="178"/>
      <c r="BF1" s="178"/>
      <c r="BG1" s="178"/>
      <c r="BH1" s="179"/>
    </row>
    <row r="2" spans="1:60" x14ac:dyDescent="0.3">
      <c r="A2" s="190"/>
      <c r="B2" s="192"/>
      <c r="C2" s="19" t="s">
        <v>73</v>
      </c>
      <c r="D2" s="91" t="s">
        <v>74</v>
      </c>
      <c r="E2" s="92" t="s">
        <v>75</v>
      </c>
      <c r="F2" s="93" t="s">
        <v>76</v>
      </c>
      <c r="G2" s="93" t="s">
        <v>77</v>
      </c>
      <c r="H2" s="93" t="s">
        <v>78</v>
      </c>
      <c r="I2" s="20" t="s">
        <v>79</v>
      </c>
      <c r="J2" s="12" t="s">
        <v>80</v>
      </c>
      <c r="K2" s="20" t="s">
        <v>81</v>
      </c>
      <c r="L2" s="21" t="s">
        <v>82</v>
      </c>
      <c r="M2" s="18" t="s">
        <v>83</v>
      </c>
      <c r="N2" s="18" t="s">
        <v>84</v>
      </c>
      <c r="O2" s="18" t="s">
        <v>85</v>
      </c>
      <c r="P2" s="18" t="s">
        <v>86</v>
      </c>
      <c r="Q2" s="18" t="s">
        <v>87</v>
      </c>
      <c r="R2" s="18" t="s">
        <v>88</v>
      </c>
      <c r="S2" s="18" t="s">
        <v>89</v>
      </c>
      <c r="T2" s="18" t="s">
        <v>90</v>
      </c>
      <c r="U2" s="18" t="s">
        <v>91</v>
      </c>
      <c r="V2" s="18" t="s">
        <v>92</v>
      </c>
      <c r="W2" s="18" t="s">
        <v>93</v>
      </c>
      <c r="X2" s="22" t="s">
        <v>94</v>
      </c>
      <c r="Y2" s="17" t="s">
        <v>95</v>
      </c>
      <c r="Z2" s="18" t="s">
        <v>96</v>
      </c>
      <c r="AA2" s="18" t="s">
        <v>97</v>
      </c>
      <c r="AB2" s="18" t="s">
        <v>98</v>
      </c>
      <c r="AC2" s="18" t="s">
        <v>99</v>
      </c>
      <c r="AD2" s="18" t="s">
        <v>100</v>
      </c>
      <c r="AE2" s="18" t="s">
        <v>101</v>
      </c>
      <c r="AF2" s="18" t="s">
        <v>102</v>
      </c>
      <c r="AG2" s="18" t="s">
        <v>103</v>
      </c>
      <c r="AH2" s="18" t="s">
        <v>104</v>
      </c>
      <c r="AI2" s="18" t="s">
        <v>105</v>
      </c>
      <c r="AJ2" s="187"/>
      <c r="AK2" s="188"/>
      <c r="AL2" s="189"/>
      <c r="AM2" s="21" t="s">
        <v>6</v>
      </c>
      <c r="AN2" s="18" t="s">
        <v>8</v>
      </c>
      <c r="AO2" s="17" t="s">
        <v>9</v>
      </c>
      <c r="AP2" s="18" t="s">
        <v>10</v>
      </c>
      <c r="AQ2" s="18" t="s">
        <v>12</v>
      </c>
      <c r="AR2" s="18" t="s">
        <v>14</v>
      </c>
      <c r="AS2" s="18" t="s">
        <v>15</v>
      </c>
      <c r="AT2" s="18" t="s">
        <v>16</v>
      </c>
      <c r="AU2" s="18" t="s">
        <v>17</v>
      </c>
      <c r="AV2" s="18" t="s">
        <v>18</v>
      </c>
      <c r="AW2" s="22" t="s">
        <v>19</v>
      </c>
      <c r="AX2" s="23" t="s">
        <v>6</v>
      </c>
      <c r="AY2" s="23" t="s">
        <v>8</v>
      </c>
      <c r="AZ2" s="17" t="s">
        <v>9</v>
      </c>
      <c r="BA2" s="23" t="s">
        <v>10</v>
      </c>
      <c r="BB2" s="23" t="s">
        <v>12</v>
      </c>
      <c r="BC2" s="23" t="s">
        <v>14</v>
      </c>
      <c r="BD2" s="23" t="s">
        <v>15</v>
      </c>
      <c r="BE2" s="23" t="s">
        <v>16</v>
      </c>
      <c r="BF2" s="23" t="s">
        <v>888</v>
      </c>
      <c r="BG2" s="94" t="s">
        <v>18</v>
      </c>
      <c r="BH2" s="17" t="s">
        <v>19</v>
      </c>
    </row>
    <row r="3" spans="1:60" ht="66" x14ac:dyDescent="0.3">
      <c r="A3" s="24">
        <v>1</v>
      </c>
      <c r="B3" s="25" t="s">
        <v>70</v>
      </c>
      <c r="C3" s="3" t="s">
        <v>863</v>
      </c>
      <c r="D3" t="s">
        <v>296</v>
      </c>
      <c r="E3" s="2" t="s">
        <v>275</v>
      </c>
      <c r="F3" s="3" t="s">
        <v>110</v>
      </c>
      <c r="G3" s="3" t="s">
        <v>111</v>
      </c>
      <c r="H3" s="3" t="s">
        <v>112</v>
      </c>
      <c r="I3" s="3" t="s">
        <v>864</v>
      </c>
      <c r="J3" s="13">
        <v>0.73</v>
      </c>
      <c r="K3" s="3" t="s">
        <v>114</v>
      </c>
      <c r="L3" s="3" t="s">
        <v>865</v>
      </c>
      <c r="M3" s="3" t="s">
        <v>116</v>
      </c>
      <c r="N3" s="3" t="s">
        <v>117</v>
      </c>
      <c r="O3" s="3" t="s">
        <v>187</v>
      </c>
      <c r="P3" s="3" t="s">
        <v>466</v>
      </c>
      <c r="Q3" s="3" t="s">
        <v>889</v>
      </c>
      <c r="R3" s="3" t="s">
        <v>866</v>
      </c>
      <c r="S3" s="3" t="s">
        <v>867</v>
      </c>
      <c r="T3" s="3" t="s">
        <v>868</v>
      </c>
      <c r="U3" s="3" t="s">
        <v>869</v>
      </c>
      <c r="V3" s="3" t="s">
        <v>870</v>
      </c>
      <c r="W3" s="3" t="s">
        <v>312</v>
      </c>
      <c r="X3" s="95" t="s">
        <v>400</v>
      </c>
      <c r="Y3" s="24" t="s">
        <v>325</v>
      </c>
      <c r="Z3" s="25" t="s">
        <v>775</v>
      </c>
      <c r="AA3" s="3" t="s">
        <v>7</v>
      </c>
      <c r="AB3" s="3" t="s">
        <v>871</v>
      </c>
      <c r="AC3" s="3" t="s">
        <v>872</v>
      </c>
      <c r="AD3" s="3" t="s">
        <v>873</v>
      </c>
      <c r="AE3" s="3" t="s">
        <v>472</v>
      </c>
      <c r="AF3" s="3" t="s">
        <v>374</v>
      </c>
      <c r="AG3" s="3" t="s">
        <v>874</v>
      </c>
      <c r="AH3" s="3" t="s">
        <v>376</v>
      </c>
      <c r="AI3" s="3" t="s">
        <v>875</v>
      </c>
      <c r="AJ3" s="180" t="s">
        <v>890</v>
      </c>
      <c r="AK3" s="181"/>
      <c r="AL3" s="181"/>
      <c r="AM3" s="3" t="s">
        <v>7</v>
      </c>
      <c r="AN3" s="3" t="s">
        <v>7</v>
      </c>
      <c r="AO3" s="3" t="s">
        <v>7</v>
      </c>
      <c r="AP3" s="2" t="s">
        <v>71</v>
      </c>
      <c r="AQ3" s="3" t="s">
        <v>7</v>
      </c>
      <c r="AR3" s="3" t="s">
        <v>7</v>
      </c>
      <c r="AS3" s="3" t="s">
        <v>7</v>
      </c>
      <c r="AT3" s="3" t="s">
        <v>7</v>
      </c>
      <c r="AU3" s="3" t="s">
        <v>7</v>
      </c>
      <c r="AV3" s="2" t="s">
        <v>53</v>
      </c>
      <c r="AW3" s="3" t="s">
        <v>7</v>
      </c>
      <c r="AX3" s="3" t="s">
        <v>7</v>
      </c>
      <c r="AY3" s="3" t="s">
        <v>7</v>
      </c>
      <c r="AZ3" s="96" t="s">
        <v>7</v>
      </c>
      <c r="BA3" s="4" t="s">
        <v>891</v>
      </c>
      <c r="BB3" s="3" t="s">
        <v>114</v>
      </c>
      <c r="BC3" s="3" t="s">
        <v>114</v>
      </c>
      <c r="BD3" s="3" t="s">
        <v>114</v>
      </c>
      <c r="BE3" s="3" t="s">
        <v>114</v>
      </c>
      <c r="BF3" s="3" t="s">
        <v>114</v>
      </c>
      <c r="BG3" s="3" t="s">
        <v>892</v>
      </c>
      <c r="BH3" s="30" t="s">
        <v>114</v>
      </c>
    </row>
    <row r="4" spans="1:60" ht="66" x14ac:dyDescent="0.3">
      <c r="A4" s="24">
        <v>2</v>
      </c>
      <c r="B4" s="25" t="s">
        <v>33</v>
      </c>
      <c r="C4" s="3" t="s">
        <v>333</v>
      </c>
      <c r="D4" s="3" t="s">
        <v>334</v>
      </c>
      <c r="E4" s="2" t="s">
        <v>275</v>
      </c>
      <c r="F4" s="3" t="s">
        <v>110</v>
      </c>
      <c r="G4" s="3" t="s">
        <v>111</v>
      </c>
      <c r="H4" s="3" t="s">
        <v>112</v>
      </c>
      <c r="I4" s="3" t="s">
        <v>335</v>
      </c>
      <c r="J4" s="13">
        <v>1.4</v>
      </c>
      <c r="K4" s="3" t="s">
        <v>114</v>
      </c>
      <c r="L4" s="3" t="s">
        <v>336</v>
      </c>
      <c r="M4" s="3" t="s">
        <v>337</v>
      </c>
      <c r="N4" s="3" t="s">
        <v>117</v>
      </c>
      <c r="O4" s="3" t="s">
        <v>118</v>
      </c>
      <c r="P4" s="3" t="s">
        <v>266</v>
      </c>
      <c r="Q4" s="3" t="s">
        <v>889</v>
      </c>
      <c r="R4" s="3" t="s">
        <v>338</v>
      </c>
      <c r="S4" s="3" t="s">
        <v>339</v>
      </c>
      <c r="T4" s="3" t="s">
        <v>340</v>
      </c>
      <c r="U4" s="3" t="s">
        <v>284</v>
      </c>
      <c r="V4" s="3" t="s">
        <v>341</v>
      </c>
      <c r="W4" s="3" t="s">
        <v>7</v>
      </c>
      <c r="X4" s="28" t="s">
        <v>342</v>
      </c>
      <c r="Y4" s="24" t="s">
        <v>194</v>
      </c>
      <c r="Z4" s="29" t="s">
        <v>287</v>
      </c>
      <c r="AA4" s="3" t="s">
        <v>343</v>
      </c>
      <c r="AB4" s="3" t="s">
        <v>126</v>
      </c>
      <c r="AC4" s="3" t="s">
        <v>7</v>
      </c>
      <c r="AD4" s="3" t="s">
        <v>344</v>
      </c>
      <c r="AE4" s="3" t="s">
        <v>329</v>
      </c>
      <c r="AF4" s="3" t="s">
        <v>345</v>
      </c>
      <c r="AG4" s="3" t="s">
        <v>346</v>
      </c>
      <c r="AH4" s="3" t="s">
        <v>331</v>
      </c>
      <c r="AI4" s="3" t="s">
        <v>292</v>
      </c>
      <c r="AJ4" s="33" t="s">
        <v>893</v>
      </c>
      <c r="AK4" s="27"/>
      <c r="AL4" s="27"/>
      <c r="AM4" s="3" t="s">
        <v>7</v>
      </c>
      <c r="AN4" s="3" t="s">
        <v>7</v>
      </c>
      <c r="AO4" s="3" t="s">
        <v>7</v>
      </c>
      <c r="AP4" s="3" t="s">
        <v>498</v>
      </c>
      <c r="AQ4" s="3" t="s">
        <v>7</v>
      </c>
      <c r="AR4" s="3" t="s">
        <v>7</v>
      </c>
      <c r="AS4" s="3" t="s">
        <v>7</v>
      </c>
      <c r="AT4" s="3" t="s">
        <v>7</v>
      </c>
      <c r="AU4" s="3" t="s">
        <v>7</v>
      </c>
      <c r="AV4" s="3" t="s">
        <v>7</v>
      </c>
      <c r="AW4" s="3" t="s">
        <v>7</v>
      </c>
      <c r="AX4" s="3" t="s">
        <v>7</v>
      </c>
      <c r="AY4" s="3" t="s">
        <v>7</v>
      </c>
      <c r="AZ4" s="4" t="s">
        <v>7</v>
      </c>
      <c r="BA4" s="4" t="s">
        <v>894</v>
      </c>
      <c r="BB4" s="3" t="s">
        <v>114</v>
      </c>
      <c r="BC4" s="3" t="s">
        <v>114</v>
      </c>
      <c r="BD4" s="3" t="s">
        <v>114</v>
      </c>
      <c r="BE4" s="3" t="s">
        <v>114</v>
      </c>
      <c r="BF4" s="3" t="s">
        <v>114</v>
      </c>
      <c r="BG4" s="3" t="s">
        <v>114</v>
      </c>
      <c r="BH4" s="3" t="s">
        <v>114</v>
      </c>
    </row>
    <row r="5" spans="1:60" ht="79.900000000000006" customHeight="1" x14ac:dyDescent="0.3">
      <c r="A5" s="24">
        <v>3</v>
      </c>
      <c r="B5" s="25" t="s">
        <v>34</v>
      </c>
      <c r="C5" s="3" t="s">
        <v>333</v>
      </c>
      <c r="D5" s="3" t="s">
        <v>334</v>
      </c>
      <c r="E5" s="2" t="s">
        <v>275</v>
      </c>
      <c r="F5" s="3" t="s">
        <v>110</v>
      </c>
      <c r="G5" s="3" t="s">
        <v>111</v>
      </c>
      <c r="H5" s="3" t="s">
        <v>112</v>
      </c>
      <c r="I5" s="3" t="s">
        <v>348</v>
      </c>
      <c r="J5" s="13">
        <v>1.4</v>
      </c>
      <c r="K5" s="3" t="s">
        <v>114</v>
      </c>
      <c r="L5" s="5" t="s">
        <v>349</v>
      </c>
      <c r="M5" s="3" t="s">
        <v>116</v>
      </c>
      <c r="N5" s="3" t="s">
        <v>117</v>
      </c>
      <c r="O5" s="3" t="s">
        <v>118</v>
      </c>
      <c r="P5" s="3" t="s">
        <v>266</v>
      </c>
      <c r="Q5" s="3" t="s">
        <v>889</v>
      </c>
      <c r="R5" s="3" t="s">
        <v>338</v>
      </c>
      <c r="S5" s="3" t="s">
        <v>350</v>
      </c>
      <c r="T5" s="3" t="s">
        <v>351</v>
      </c>
      <c r="U5" s="3" t="s">
        <v>284</v>
      </c>
      <c r="V5" s="3" t="s">
        <v>7</v>
      </c>
      <c r="W5" s="3" t="s">
        <v>7</v>
      </c>
      <c r="X5" s="28" t="s">
        <v>352</v>
      </c>
      <c r="Y5" s="24" t="s">
        <v>7</v>
      </c>
      <c r="Z5" s="29" t="s">
        <v>287</v>
      </c>
      <c r="AA5" s="3" t="s">
        <v>7</v>
      </c>
      <c r="AB5" s="3" t="s">
        <v>7</v>
      </c>
      <c r="AC5" s="3" t="s">
        <v>7</v>
      </c>
      <c r="AD5" s="3" t="s">
        <v>7</v>
      </c>
      <c r="AE5" s="3" t="s">
        <v>353</v>
      </c>
      <c r="AF5" s="3" t="s">
        <v>7</v>
      </c>
      <c r="AG5" s="3" t="s">
        <v>354</v>
      </c>
      <c r="AH5" s="3" t="s">
        <v>7</v>
      </c>
      <c r="AI5" s="3" t="s">
        <v>355</v>
      </c>
      <c r="AJ5" s="40" t="s">
        <v>895</v>
      </c>
      <c r="AK5" s="27"/>
      <c r="AL5" s="27"/>
      <c r="AM5" s="3" t="s">
        <v>7</v>
      </c>
      <c r="AN5" s="3" t="s">
        <v>7</v>
      </c>
      <c r="AO5" s="3" t="s">
        <v>7</v>
      </c>
      <c r="AP5" s="3" t="s">
        <v>498</v>
      </c>
      <c r="AQ5" s="3" t="s">
        <v>498</v>
      </c>
      <c r="AR5" s="3" t="s">
        <v>7</v>
      </c>
      <c r="AS5" s="3" t="s">
        <v>7</v>
      </c>
      <c r="AT5" s="3" t="s">
        <v>7</v>
      </c>
      <c r="AU5" s="3" t="s">
        <v>7</v>
      </c>
      <c r="AV5" s="3" t="s">
        <v>7</v>
      </c>
      <c r="AW5" s="3" t="s">
        <v>7</v>
      </c>
      <c r="AX5" s="3" t="s">
        <v>7</v>
      </c>
      <c r="AY5" s="3" t="s">
        <v>7</v>
      </c>
      <c r="AZ5" s="3" t="s">
        <v>114</v>
      </c>
      <c r="BA5" s="4" t="s">
        <v>894</v>
      </c>
      <c r="BB5" s="97" t="s">
        <v>896</v>
      </c>
      <c r="BC5" s="3" t="s">
        <v>114</v>
      </c>
      <c r="BD5" s="3" t="s">
        <v>114</v>
      </c>
      <c r="BE5" s="3" t="s">
        <v>114</v>
      </c>
      <c r="BF5" s="3" t="s">
        <v>114</v>
      </c>
      <c r="BG5" s="3" t="s">
        <v>114</v>
      </c>
      <c r="BH5" s="3" t="s">
        <v>114</v>
      </c>
    </row>
    <row r="6" spans="1:60" ht="81.599999999999994" customHeight="1" x14ac:dyDescent="0.3">
      <c r="A6" s="24">
        <v>4</v>
      </c>
      <c r="B6" s="25" t="s">
        <v>36</v>
      </c>
      <c r="C6" s="3" t="s">
        <v>204</v>
      </c>
      <c r="D6" s="3" t="s">
        <v>296</v>
      </c>
      <c r="E6" s="2" t="s">
        <v>275</v>
      </c>
      <c r="F6" s="3" t="s">
        <v>110</v>
      </c>
      <c r="G6" s="3" t="s">
        <v>366</v>
      </c>
      <c r="H6" s="3" t="s">
        <v>112</v>
      </c>
      <c r="I6" s="3" t="s">
        <v>367</v>
      </c>
      <c r="J6" s="13">
        <v>1.6</v>
      </c>
      <c r="K6" s="3" t="s">
        <v>114</v>
      </c>
      <c r="L6" s="3" t="s">
        <v>368</v>
      </c>
      <c r="M6" s="3" t="s">
        <v>337</v>
      </c>
      <c r="N6" s="3" t="s">
        <v>117</v>
      </c>
      <c r="O6" s="3" t="s">
        <v>369</v>
      </c>
      <c r="P6" s="3" t="s">
        <v>370</v>
      </c>
      <c r="Q6" s="3" t="s">
        <v>889</v>
      </c>
      <c r="R6" s="3" t="s">
        <v>7</v>
      </c>
      <c r="S6" s="3" t="s">
        <v>371</v>
      </c>
      <c r="T6" s="3" t="s">
        <v>372</v>
      </c>
      <c r="U6" s="3" t="s">
        <v>7</v>
      </c>
      <c r="V6" s="3" t="s">
        <v>7</v>
      </c>
      <c r="W6" s="3" t="s">
        <v>373</v>
      </c>
      <c r="X6" s="28" t="s">
        <v>353</v>
      </c>
      <c r="Y6" s="24" t="s">
        <v>7</v>
      </c>
      <c r="Z6" s="25" t="s">
        <v>125</v>
      </c>
      <c r="AA6" s="3" t="s">
        <v>7</v>
      </c>
      <c r="AB6" s="3" t="s">
        <v>126</v>
      </c>
      <c r="AC6" s="3" t="s">
        <v>7</v>
      </c>
      <c r="AD6" s="3" t="s">
        <v>127</v>
      </c>
      <c r="AE6" s="3" t="s">
        <v>353</v>
      </c>
      <c r="AF6" s="3" t="s">
        <v>374</v>
      </c>
      <c r="AG6" s="3" t="s">
        <v>375</v>
      </c>
      <c r="AH6" s="3" t="s">
        <v>376</v>
      </c>
      <c r="AI6" s="3" t="s">
        <v>377</v>
      </c>
      <c r="AJ6" s="180" t="s">
        <v>897</v>
      </c>
      <c r="AK6" s="181"/>
      <c r="AL6" s="181"/>
      <c r="AM6" s="3" t="s">
        <v>7</v>
      </c>
      <c r="AN6" s="3" t="s">
        <v>7</v>
      </c>
      <c r="AO6" s="3" t="s">
        <v>7</v>
      </c>
      <c r="AP6" s="3" t="s">
        <v>498</v>
      </c>
      <c r="AQ6" s="3" t="s">
        <v>7</v>
      </c>
      <c r="AR6" s="3" t="s">
        <v>7</v>
      </c>
      <c r="AS6" s="3" t="s">
        <v>7</v>
      </c>
      <c r="AT6" s="3" t="s">
        <v>7</v>
      </c>
      <c r="AU6" s="3" t="s">
        <v>7</v>
      </c>
      <c r="AV6" s="3" t="s">
        <v>7</v>
      </c>
      <c r="AW6" s="3" t="s">
        <v>7</v>
      </c>
      <c r="AX6" s="3" t="s">
        <v>7</v>
      </c>
      <c r="AY6" s="3" t="s">
        <v>7</v>
      </c>
      <c r="AZ6" s="3" t="s">
        <v>114</v>
      </c>
      <c r="BA6" s="2" t="s">
        <v>898</v>
      </c>
      <c r="BB6" s="3" t="s">
        <v>114</v>
      </c>
      <c r="BC6" s="3" t="s">
        <v>114</v>
      </c>
      <c r="BD6" s="3" t="s">
        <v>114</v>
      </c>
      <c r="BE6" s="3" t="s">
        <v>114</v>
      </c>
      <c r="BF6" s="3" t="s">
        <v>114</v>
      </c>
      <c r="BG6" s="3" t="s">
        <v>114</v>
      </c>
      <c r="BH6" s="3" t="s">
        <v>114</v>
      </c>
    </row>
    <row r="7" spans="1:60" ht="66.599999999999994" customHeight="1" x14ac:dyDescent="0.3">
      <c r="A7" s="24">
        <v>5</v>
      </c>
      <c r="B7" s="25" t="s">
        <v>4</v>
      </c>
      <c r="C7" s="3" t="s">
        <v>107</v>
      </c>
      <c r="D7" s="3" t="s">
        <v>108</v>
      </c>
      <c r="E7" s="2" t="s">
        <v>109</v>
      </c>
      <c r="F7" s="3" t="s">
        <v>110</v>
      </c>
      <c r="G7" s="3" t="s">
        <v>111</v>
      </c>
      <c r="H7" s="3" t="s">
        <v>112</v>
      </c>
      <c r="I7" s="3" t="s">
        <v>113</v>
      </c>
      <c r="J7" s="13">
        <v>0.7</v>
      </c>
      <c r="K7" s="3" t="s">
        <v>114</v>
      </c>
      <c r="L7" s="3" t="s">
        <v>115</v>
      </c>
      <c r="M7" s="3" t="s">
        <v>116</v>
      </c>
      <c r="N7" s="3" t="s">
        <v>117</v>
      </c>
      <c r="O7" s="3" t="s">
        <v>118</v>
      </c>
      <c r="P7" s="3" t="s">
        <v>119</v>
      </c>
      <c r="Q7" s="3" t="s">
        <v>889</v>
      </c>
      <c r="R7" s="3" t="s">
        <v>121</v>
      </c>
      <c r="S7" s="3" t="s">
        <v>122</v>
      </c>
      <c r="T7" s="3" t="s">
        <v>123</v>
      </c>
      <c r="U7" s="3" t="s">
        <v>7</v>
      </c>
      <c r="V7" s="3" t="s">
        <v>7</v>
      </c>
      <c r="W7" s="3" t="s">
        <v>124</v>
      </c>
      <c r="X7" s="28" t="s">
        <v>7</v>
      </c>
      <c r="Y7" s="24" t="s">
        <v>7</v>
      </c>
      <c r="Z7" s="25" t="s">
        <v>125</v>
      </c>
      <c r="AA7" s="3" t="s">
        <v>7</v>
      </c>
      <c r="AB7" s="3" t="s">
        <v>126</v>
      </c>
      <c r="AC7" s="3" t="s">
        <v>7</v>
      </c>
      <c r="AD7" s="3" t="s">
        <v>127</v>
      </c>
      <c r="AE7" s="3" t="s">
        <v>128</v>
      </c>
      <c r="AF7" s="3" t="s">
        <v>129</v>
      </c>
      <c r="AG7" s="3" t="s">
        <v>130</v>
      </c>
      <c r="AH7" s="3" t="s">
        <v>131</v>
      </c>
      <c r="AI7" s="3" t="s">
        <v>132</v>
      </c>
      <c r="AJ7" s="40" t="s">
        <v>899</v>
      </c>
      <c r="AK7" s="27"/>
      <c r="AL7" s="27"/>
      <c r="AM7" s="3" t="s">
        <v>7</v>
      </c>
      <c r="AN7" s="3" t="s">
        <v>7</v>
      </c>
      <c r="AO7" s="3" t="s">
        <v>7</v>
      </c>
      <c r="AP7" s="3" t="s">
        <v>900</v>
      </c>
      <c r="AQ7" s="3" t="s">
        <v>498</v>
      </c>
      <c r="AR7" s="3" t="s">
        <v>7</v>
      </c>
      <c r="AS7" s="3" t="s">
        <v>7</v>
      </c>
      <c r="AT7" s="3" t="s">
        <v>7</v>
      </c>
      <c r="AU7" s="3" t="s">
        <v>7</v>
      </c>
      <c r="AV7" s="3" t="s">
        <v>7</v>
      </c>
      <c r="AW7" s="3" t="s">
        <v>7</v>
      </c>
      <c r="AX7" s="3" t="s">
        <v>7</v>
      </c>
      <c r="AY7" s="3" t="s">
        <v>7</v>
      </c>
      <c r="AZ7" s="3" t="s">
        <v>114</v>
      </c>
      <c r="BA7" s="3" t="s">
        <v>901</v>
      </c>
      <c r="BB7" s="4" t="s">
        <v>902</v>
      </c>
      <c r="BC7" s="3" t="s">
        <v>114</v>
      </c>
      <c r="BD7" s="3" t="s">
        <v>114</v>
      </c>
      <c r="BE7" s="3" t="s">
        <v>114</v>
      </c>
      <c r="BF7" s="3" t="s">
        <v>114</v>
      </c>
      <c r="BG7" s="3" t="s">
        <v>114</v>
      </c>
      <c r="BH7" s="3" t="s">
        <v>114</v>
      </c>
    </row>
    <row r="8" spans="1:60" ht="78.599999999999994" customHeight="1" x14ac:dyDescent="0.3">
      <c r="A8" s="24">
        <v>6</v>
      </c>
      <c r="B8" s="25" t="s">
        <v>37</v>
      </c>
      <c r="C8" s="3" t="s">
        <v>379</v>
      </c>
      <c r="D8" s="3" t="s">
        <v>296</v>
      </c>
      <c r="E8" s="2" t="s">
        <v>275</v>
      </c>
      <c r="F8" s="3" t="s">
        <v>110</v>
      </c>
      <c r="G8" s="3" t="s">
        <v>111</v>
      </c>
      <c r="H8" s="3" t="s">
        <v>112</v>
      </c>
      <c r="I8" s="3" t="s">
        <v>380</v>
      </c>
      <c r="J8" s="13">
        <v>1.3</v>
      </c>
      <c r="K8" s="3" t="s">
        <v>114</v>
      </c>
      <c r="L8" s="3" t="s">
        <v>381</v>
      </c>
      <c r="M8" s="3" t="s">
        <v>337</v>
      </c>
      <c r="N8" s="3" t="s">
        <v>117</v>
      </c>
      <c r="O8" s="3" t="s">
        <v>118</v>
      </c>
      <c r="P8" s="3" t="s">
        <v>266</v>
      </c>
      <c r="Q8" s="3" t="s">
        <v>889</v>
      </c>
      <c r="R8" s="3" t="s">
        <v>382</v>
      </c>
      <c r="S8" s="3" t="s">
        <v>383</v>
      </c>
      <c r="T8" s="3" t="s">
        <v>384</v>
      </c>
      <c r="U8" s="3" t="s">
        <v>7</v>
      </c>
      <c r="V8" s="3" t="s">
        <v>385</v>
      </c>
      <c r="W8" s="3" t="s">
        <v>386</v>
      </c>
      <c r="X8" s="28" t="s">
        <v>342</v>
      </c>
      <c r="Y8" s="24" t="s">
        <v>194</v>
      </c>
      <c r="Z8" s="29" t="s">
        <v>287</v>
      </c>
      <c r="AA8" s="3" t="s">
        <v>387</v>
      </c>
      <c r="AB8" s="3" t="s">
        <v>126</v>
      </c>
      <c r="AC8" s="3" t="s">
        <v>388</v>
      </c>
      <c r="AD8" s="3" t="s">
        <v>389</v>
      </c>
      <c r="AE8" s="3" t="s">
        <v>353</v>
      </c>
      <c r="AF8" s="3" t="s">
        <v>345</v>
      </c>
      <c r="AG8" s="3" t="s">
        <v>390</v>
      </c>
      <c r="AH8" s="3" t="s">
        <v>391</v>
      </c>
      <c r="AI8" s="3" t="s">
        <v>292</v>
      </c>
      <c r="AJ8" s="14" t="s">
        <v>903</v>
      </c>
      <c r="AK8" s="3"/>
      <c r="AL8" s="3"/>
      <c r="AM8" s="3" t="s">
        <v>7</v>
      </c>
      <c r="AN8" s="3" t="s">
        <v>7</v>
      </c>
      <c r="AO8" s="3" t="s">
        <v>7</v>
      </c>
      <c r="AP8" s="3" t="s">
        <v>904</v>
      </c>
      <c r="AQ8" s="3" t="s">
        <v>7</v>
      </c>
      <c r="AR8" s="3" t="s">
        <v>7</v>
      </c>
      <c r="AS8" s="3" t="s">
        <v>7</v>
      </c>
      <c r="AT8" s="3" t="s">
        <v>7</v>
      </c>
      <c r="AU8" s="3" t="s">
        <v>7</v>
      </c>
      <c r="AV8" s="3" t="s">
        <v>498</v>
      </c>
      <c r="AW8" s="3" t="s">
        <v>7</v>
      </c>
      <c r="AX8" s="3" t="s">
        <v>7</v>
      </c>
      <c r="AY8" s="3" t="s">
        <v>7</v>
      </c>
      <c r="AZ8" s="3" t="s">
        <v>114</v>
      </c>
      <c r="BA8" s="2" t="s">
        <v>905</v>
      </c>
      <c r="BB8" s="3" t="s">
        <v>114</v>
      </c>
      <c r="BC8" s="3" t="s">
        <v>114</v>
      </c>
      <c r="BD8" s="3" t="s">
        <v>114</v>
      </c>
      <c r="BE8" s="3" t="s">
        <v>114</v>
      </c>
      <c r="BF8" s="3" t="s">
        <v>114</v>
      </c>
      <c r="BG8" s="14" t="s">
        <v>906</v>
      </c>
      <c r="BH8" s="3" t="s">
        <v>114</v>
      </c>
    </row>
    <row r="9" spans="1:60" ht="70.900000000000006" customHeight="1" x14ac:dyDescent="0.3">
      <c r="A9" s="24">
        <v>7</v>
      </c>
      <c r="B9" s="25" t="s">
        <v>38</v>
      </c>
      <c r="C9" s="3" t="s">
        <v>393</v>
      </c>
      <c r="D9" s="3" t="s">
        <v>296</v>
      </c>
      <c r="E9" s="2" t="s">
        <v>275</v>
      </c>
      <c r="F9" s="3" t="s">
        <v>110</v>
      </c>
      <c r="G9" s="3" t="s">
        <v>111</v>
      </c>
      <c r="H9" s="3" t="s">
        <v>112</v>
      </c>
      <c r="I9" s="3" t="s">
        <v>394</v>
      </c>
      <c r="J9" s="13">
        <v>0.7</v>
      </c>
      <c r="K9" s="3" t="s">
        <v>114</v>
      </c>
      <c r="L9" s="3" t="s">
        <v>395</v>
      </c>
      <c r="M9" s="3" t="s">
        <v>116</v>
      </c>
      <c r="N9" s="3" t="s">
        <v>117</v>
      </c>
      <c r="O9" s="3" t="s">
        <v>118</v>
      </c>
      <c r="P9" s="3" t="s">
        <v>119</v>
      </c>
      <c r="Q9" s="3" t="s">
        <v>889</v>
      </c>
      <c r="R9" s="3" t="s">
        <v>396</v>
      </c>
      <c r="S9" s="3" t="s">
        <v>397</v>
      </c>
      <c r="T9" s="3" t="s">
        <v>398</v>
      </c>
      <c r="U9" s="3" t="s">
        <v>7</v>
      </c>
      <c r="V9" s="3" t="s">
        <v>399</v>
      </c>
      <c r="W9" s="3" t="s">
        <v>386</v>
      </c>
      <c r="X9" s="95" t="s">
        <v>400</v>
      </c>
      <c r="Y9" s="24" t="s">
        <v>325</v>
      </c>
      <c r="Z9" s="25" t="s">
        <v>125</v>
      </c>
      <c r="AA9" s="3" t="s">
        <v>7</v>
      </c>
      <c r="AB9" s="3" t="s">
        <v>401</v>
      </c>
      <c r="AC9" s="3" t="s">
        <v>402</v>
      </c>
      <c r="AD9" s="3" t="s">
        <v>403</v>
      </c>
      <c r="AE9" s="3" t="s">
        <v>128</v>
      </c>
      <c r="AF9" s="3" t="s">
        <v>404</v>
      </c>
      <c r="AG9" s="3" t="s">
        <v>405</v>
      </c>
      <c r="AH9" s="3" t="s">
        <v>331</v>
      </c>
      <c r="AI9" s="3" t="s">
        <v>132</v>
      </c>
      <c r="AJ9" s="165" t="s">
        <v>907</v>
      </c>
      <c r="AK9" s="166"/>
      <c r="AL9" s="167"/>
      <c r="AM9" s="3" t="s">
        <v>7</v>
      </c>
      <c r="AN9" s="3" t="s">
        <v>7</v>
      </c>
      <c r="AO9" s="3" t="s">
        <v>7</v>
      </c>
      <c r="AP9" s="3" t="s">
        <v>904</v>
      </c>
      <c r="AQ9" s="3" t="s">
        <v>7</v>
      </c>
      <c r="AR9" s="3" t="s">
        <v>7</v>
      </c>
      <c r="AS9" s="3" t="s">
        <v>7</v>
      </c>
      <c r="AT9" s="3" t="s">
        <v>7</v>
      </c>
      <c r="AU9" s="3" t="s">
        <v>7</v>
      </c>
      <c r="AV9" s="3" t="s">
        <v>7</v>
      </c>
      <c r="AW9" s="3" t="s">
        <v>7</v>
      </c>
      <c r="AX9" s="3" t="s">
        <v>7</v>
      </c>
      <c r="AY9" s="3" t="s">
        <v>7</v>
      </c>
      <c r="AZ9" s="3" t="s">
        <v>114</v>
      </c>
      <c r="BA9" s="4" t="s">
        <v>908</v>
      </c>
      <c r="BB9" s="3" t="s">
        <v>114</v>
      </c>
      <c r="BC9" s="3" t="s">
        <v>114</v>
      </c>
      <c r="BD9" s="3" t="s">
        <v>114</v>
      </c>
      <c r="BE9" s="3" t="s">
        <v>114</v>
      </c>
      <c r="BF9" s="3" t="s">
        <v>114</v>
      </c>
      <c r="BG9" s="3" t="s">
        <v>114</v>
      </c>
      <c r="BH9" s="3" t="s">
        <v>114</v>
      </c>
    </row>
    <row r="10" spans="1:60" ht="58.15" customHeight="1" x14ac:dyDescent="0.3">
      <c r="A10" s="24">
        <v>8</v>
      </c>
      <c r="B10" s="25" t="s">
        <v>39</v>
      </c>
      <c r="C10" s="3" t="s">
        <v>406</v>
      </c>
      <c r="D10" s="3" t="s">
        <v>296</v>
      </c>
      <c r="E10" s="2" t="s">
        <v>275</v>
      </c>
      <c r="F10" s="3" t="s">
        <v>110</v>
      </c>
      <c r="G10" s="3" t="s">
        <v>111</v>
      </c>
      <c r="H10" s="3" t="s">
        <v>112</v>
      </c>
      <c r="I10" s="3" t="s">
        <v>113</v>
      </c>
      <c r="J10" s="13">
        <v>0.7</v>
      </c>
      <c r="K10" s="3" t="s">
        <v>407</v>
      </c>
      <c r="L10" s="3" t="s">
        <v>408</v>
      </c>
      <c r="M10" s="3" t="s">
        <v>409</v>
      </c>
      <c r="N10" s="3" t="s">
        <v>117</v>
      </c>
      <c r="O10" s="3" t="s">
        <v>118</v>
      </c>
      <c r="P10" s="3" t="s">
        <v>119</v>
      </c>
      <c r="Q10" s="3" t="s">
        <v>889</v>
      </c>
      <c r="R10" s="3" t="s">
        <v>410</v>
      </c>
      <c r="S10" s="3" t="s">
        <v>411</v>
      </c>
      <c r="T10" s="3" t="s">
        <v>412</v>
      </c>
      <c r="U10" s="3" t="s">
        <v>413</v>
      </c>
      <c r="V10" s="3" t="s">
        <v>414</v>
      </c>
      <c r="W10" s="3" t="s">
        <v>415</v>
      </c>
      <c r="X10" s="28" t="s">
        <v>416</v>
      </c>
      <c r="Y10" s="24" t="s">
        <v>417</v>
      </c>
      <c r="Z10" s="25" t="s">
        <v>125</v>
      </c>
      <c r="AA10" s="3" t="s">
        <v>909</v>
      </c>
      <c r="AB10" s="3" t="s">
        <v>401</v>
      </c>
      <c r="AC10" s="3" t="s">
        <v>419</v>
      </c>
      <c r="AD10" s="3" t="s">
        <v>403</v>
      </c>
      <c r="AE10" s="3" t="s">
        <v>128</v>
      </c>
      <c r="AF10" s="3" t="s">
        <v>420</v>
      </c>
      <c r="AG10" s="3" t="s">
        <v>421</v>
      </c>
      <c r="AH10" s="3" t="s">
        <v>422</v>
      </c>
      <c r="AI10" s="3" t="s">
        <v>132</v>
      </c>
      <c r="AJ10" s="165" t="s">
        <v>910</v>
      </c>
      <c r="AK10" s="166"/>
      <c r="AL10" s="167"/>
      <c r="AM10" s="3" t="s">
        <v>7</v>
      </c>
      <c r="AN10" s="3" t="s">
        <v>7</v>
      </c>
      <c r="AO10" s="3" t="s">
        <v>7</v>
      </c>
      <c r="AP10" s="3" t="s">
        <v>904</v>
      </c>
      <c r="AQ10" s="3" t="s">
        <v>7</v>
      </c>
      <c r="AR10" s="3" t="s">
        <v>7</v>
      </c>
      <c r="AS10" s="3" t="s">
        <v>7</v>
      </c>
      <c r="AT10" s="3" t="s">
        <v>7</v>
      </c>
      <c r="AU10" s="3" t="s">
        <v>7</v>
      </c>
      <c r="AV10" s="3" t="s">
        <v>7</v>
      </c>
      <c r="AW10" s="3" t="s">
        <v>7</v>
      </c>
      <c r="AX10" s="3" t="s">
        <v>7</v>
      </c>
      <c r="AY10" s="3" t="s">
        <v>7</v>
      </c>
      <c r="AZ10" s="3" t="s">
        <v>114</v>
      </c>
      <c r="BA10" s="4" t="s">
        <v>911</v>
      </c>
      <c r="BB10" s="3" t="s">
        <v>114</v>
      </c>
      <c r="BC10" s="3" t="s">
        <v>114</v>
      </c>
      <c r="BD10" s="3" t="s">
        <v>114</v>
      </c>
      <c r="BE10" s="3" t="s">
        <v>114</v>
      </c>
      <c r="BF10" s="3" t="s">
        <v>114</v>
      </c>
      <c r="BG10" s="3" t="s">
        <v>114</v>
      </c>
      <c r="BH10" s="3" t="s">
        <v>114</v>
      </c>
    </row>
    <row r="11" spans="1:60" s="102" customFormat="1" ht="67.900000000000006" customHeight="1" x14ac:dyDescent="0.3">
      <c r="A11" s="57">
        <v>9</v>
      </c>
      <c r="B11" s="98" t="s">
        <v>40</v>
      </c>
      <c r="C11" s="2" t="s">
        <v>406</v>
      </c>
      <c r="D11" s="2" t="s">
        <v>334</v>
      </c>
      <c r="E11" s="2" t="s">
        <v>109</v>
      </c>
      <c r="F11" s="6" t="s">
        <v>110</v>
      </c>
      <c r="G11" s="2" t="s">
        <v>111</v>
      </c>
      <c r="H11" s="2" t="s">
        <v>112</v>
      </c>
      <c r="I11" s="2" t="s">
        <v>423</v>
      </c>
      <c r="J11" s="99">
        <v>1.3</v>
      </c>
      <c r="K11" s="2" t="s">
        <v>407</v>
      </c>
      <c r="L11" s="2" t="s">
        <v>424</v>
      </c>
      <c r="M11" s="2" t="s">
        <v>116</v>
      </c>
      <c r="N11" s="2" t="s">
        <v>117</v>
      </c>
      <c r="O11" s="2" t="s">
        <v>118</v>
      </c>
      <c r="P11" s="2" t="s">
        <v>119</v>
      </c>
      <c r="Q11" s="2" t="s">
        <v>889</v>
      </c>
      <c r="R11" s="2" t="s">
        <v>411</v>
      </c>
      <c r="S11" s="2" t="s">
        <v>425</v>
      </c>
      <c r="T11" s="2" t="s">
        <v>426</v>
      </c>
      <c r="U11" s="2" t="s">
        <v>413</v>
      </c>
      <c r="V11" s="2" t="s">
        <v>427</v>
      </c>
      <c r="W11" s="2" t="s">
        <v>415</v>
      </c>
      <c r="X11" s="100" t="s">
        <v>428</v>
      </c>
      <c r="Y11" s="57" t="s">
        <v>417</v>
      </c>
      <c r="Z11" s="98" t="s">
        <v>125</v>
      </c>
      <c r="AA11" s="2" t="s">
        <v>912</v>
      </c>
      <c r="AB11" s="2" t="s">
        <v>401</v>
      </c>
      <c r="AC11" s="2" t="s">
        <v>430</v>
      </c>
      <c r="AD11" s="2" t="s">
        <v>403</v>
      </c>
      <c r="AE11" s="2" t="s">
        <v>128</v>
      </c>
      <c r="AF11" s="2" t="s">
        <v>420</v>
      </c>
      <c r="AG11" s="2" t="s">
        <v>421</v>
      </c>
      <c r="AH11" s="2" t="s">
        <v>431</v>
      </c>
      <c r="AI11" s="2" t="s">
        <v>132</v>
      </c>
      <c r="AJ11" s="168" t="s">
        <v>913</v>
      </c>
      <c r="AK11" s="169"/>
      <c r="AL11" s="170"/>
      <c r="AM11" s="2" t="s">
        <v>7</v>
      </c>
      <c r="AN11" s="2" t="s">
        <v>7</v>
      </c>
      <c r="AO11" s="2" t="s">
        <v>7</v>
      </c>
      <c r="AP11" s="3" t="s">
        <v>904</v>
      </c>
      <c r="AQ11" s="2" t="s">
        <v>7</v>
      </c>
      <c r="AR11" s="2" t="s">
        <v>7</v>
      </c>
      <c r="AS11" s="2" t="s">
        <v>7</v>
      </c>
      <c r="AT11" s="2" t="s">
        <v>7</v>
      </c>
      <c r="AU11" s="2" t="s">
        <v>7</v>
      </c>
      <c r="AV11" s="2" t="s">
        <v>7</v>
      </c>
      <c r="AW11" s="2" t="s">
        <v>7</v>
      </c>
      <c r="AX11" s="2" t="s">
        <v>7</v>
      </c>
      <c r="AY11" s="2" t="s">
        <v>7</v>
      </c>
      <c r="AZ11" s="2" t="s">
        <v>114</v>
      </c>
      <c r="BA11" s="101" t="s">
        <v>914</v>
      </c>
      <c r="BB11" s="2" t="s">
        <v>114</v>
      </c>
      <c r="BC11" s="2" t="s">
        <v>114</v>
      </c>
      <c r="BD11" s="2" t="s">
        <v>114</v>
      </c>
      <c r="BE11" s="2" t="s">
        <v>114</v>
      </c>
      <c r="BF11" s="2" t="s">
        <v>114</v>
      </c>
      <c r="BG11" s="2" t="s">
        <v>114</v>
      </c>
      <c r="BH11" s="2" t="s">
        <v>114</v>
      </c>
    </row>
    <row r="12" spans="1:60" ht="64.900000000000006" customHeight="1" x14ac:dyDescent="0.3">
      <c r="A12" s="24">
        <v>10</v>
      </c>
      <c r="B12" s="25" t="s">
        <v>41</v>
      </c>
      <c r="C12" s="3" t="s">
        <v>433</v>
      </c>
      <c r="D12" s="3" t="s">
        <v>434</v>
      </c>
      <c r="E12" s="2" t="s">
        <v>275</v>
      </c>
      <c r="F12" s="29" t="s">
        <v>182</v>
      </c>
      <c r="G12" s="26" t="s">
        <v>111</v>
      </c>
      <c r="H12" s="3" t="s">
        <v>164</v>
      </c>
      <c r="I12" s="3" t="s">
        <v>435</v>
      </c>
      <c r="J12" s="13">
        <v>0.49</v>
      </c>
      <c r="K12" s="3" t="s">
        <v>114</v>
      </c>
      <c r="L12" s="3" t="s">
        <v>436</v>
      </c>
      <c r="M12" s="3" t="s">
        <v>116</v>
      </c>
      <c r="N12" s="3" t="s">
        <v>117</v>
      </c>
      <c r="O12" s="3" t="s">
        <v>187</v>
      </c>
      <c r="P12" s="3" t="s">
        <v>280</v>
      </c>
      <c r="Q12" s="3" t="s">
        <v>889</v>
      </c>
      <c r="R12" s="3" t="s">
        <v>437</v>
      </c>
      <c r="S12" s="3" t="s">
        <v>438</v>
      </c>
      <c r="T12" s="3" t="s">
        <v>439</v>
      </c>
      <c r="U12" s="3" t="s">
        <v>413</v>
      </c>
      <c r="V12" s="3" t="s">
        <v>440</v>
      </c>
      <c r="W12" s="3" t="s">
        <v>441</v>
      </c>
      <c r="X12" s="28" t="s">
        <v>442</v>
      </c>
      <c r="Y12" s="24" t="s">
        <v>443</v>
      </c>
      <c r="Z12" s="25" t="s">
        <v>444</v>
      </c>
      <c r="AA12" s="3" t="s">
        <v>445</v>
      </c>
      <c r="AB12" s="3" t="s">
        <v>7</v>
      </c>
      <c r="AC12" s="3" t="s">
        <v>446</v>
      </c>
      <c r="AD12" s="3" t="s">
        <v>447</v>
      </c>
      <c r="AE12" s="3" t="s">
        <v>448</v>
      </c>
      <c r="AF12" s="3" t="s">
        <v>449</v>
      </c>
      <c r="AG12" s="3" t="s">
        <v>7</v>
      </c>
      <c r="AH12" s="3" t="s">
        <v>450</v>
      </c>
      <c r="AI12" s="3" t="s">
        <v>7</v>
      </c>
      <c r="AJ12" s="165" t="s">
        <v>915</v>
      </c>
      <c r="AK12" s="171"/>
      <c r="AL12" s="172"/>
      <c r="AM12" s="3" t="s">
        <v>7</v>
      </c>
      <c r="AN12" s="3" t="s">
        <v>7</v>
      </c>
      <c r="AO12" s="3" t="s">
        <v>7</v>
      </c>
      <c r="AP12" s="3" t="s">
        <v>904</v>
      </c>
      <c r="AQ12" s="3" t="s">
        <v>916</v>
      </c>
      <c r="AR12" s="3" t="s">
        <v>7</v>
      </c>
      <c r="AS12" s="3" t="s">
        <v>7</v>
      </c>
      <c r="AT12" s="3" t="s">
        <v>7</v>
      </c>
      <c r="AU12" s="3" t="s">
        <v>7</v>
      </c>
      <c r="AV12" s="3" t="s">
        <v>498</v>
      </c>
      <c r="AW12" s="3" t="s">
        <v>7</v>
      </c>
      <c r="AX12" s="3" t="s">
        <v>7</v>
      </c>
      <c r="AY12" s="3" t="s">
        <v>7</v>
      </c>
      <c r="AZ12" s="3" t="s">
        <v>114</v>
      </c>
      <c r="BA12" s="33" t="s">
        <v>917</v>
      </c>
      <c r="BB12" s="3" t="s">
        <v>918</v>
      </c>
      <c r="BC12" s="3" t="s">
        <v>114</v>
      </c>
      <c r="BD12" s="3" t="s">
        <v>114</v>
      </c>
      <c r="BE12" s="3" t="s">
        <v>114</v>
      </c>
      <c r="BF12" s="3" t="s">
        <v>114</v>
      </c>
      <c r="BG12" s="3" t="s">
        <v>919</v>
      </c>
      <c r="BH12" s="3" t="s">
        <v>114</v>
      </c>
    </row>
    <row r="13" spans="1:60" ht="67.900000000000006" customHeight="1" x14ac:dyDescent="0.3">
      <c r="A13" s="24">
        <v>11</v>
      </c>
      <c r="B13" s="29" t="s">
        <v>42</v>
      </c>
      <c r="C13" s="26" t="s">
        <v>452</v>
      </c>
      <c r="D13" s="3" t="s">
        <v>296</v>
      </c>
      <c r="E13" s="2" t="s">
        <v>275</v>
      </c>
      <c r="F13" s="24" t="s">
        <v>182</v>
      </c>
      <c r="G13" s="29" t="s">
        <v>183</v>
      </c>
      <c r="H13" s="26" t="s">
        <v>112</v>
      </c>
      <c r="I13" s="26" t="s">
        <v>7</v>
      </c>
      <c r="J13" s="103">
        <v>0.8</v>
      </c>
      <c r="K13" s="26" t="s">
        <v>114</v>
      </c>
      <c r="L13" s="26" t="s">
        <v>453</v>
      </c>
      <c r="M13" s="3" t="s">
        <v>116</v>
      </c>
      <c r="N13" s="26" t="s">
        <v>454</v>
      </c>
      <c r="O13" s="26" t="s">
        <v>455</v>
      </c>
      <c r="P13" s="26" t="s">
        <v>456</v>
      </c>
      <c r="Q13" s="26" t="s">
        <v>889</v>
      </c>
      <c r="R13" s="26" t="s">
        <v>457</v>
      </c>
      <c r="S13" s="3" t="s">
        <v>458</v>
      </c>
      <c r="T13" s="3" t="s">
        <v>459</v>
      </c>
      <c r="U13" s="3" t="s">
        <v>7</v>
      </c>
      <c r="V13" s="3" t="s">
        <v>7</v>
      </c>
      <c r="W13" s="3" t="s">
        <v>7</v>
      </c>
      <c r="X13" s="28" t="s">
        <v>460</v>
      </c>
      <c r="Y13" s="24" t="s">
        <v>7</v>
      </c>
      <c r="Z13" s="29" t="s">
        <v>287</v>
      </c>
      <c r="AA13" s="3" t="s">
        <v>7</v>
      </c>
      <c r="AB13" s="26" t="s">
        <v>461</v>
      </c>
      <c r="AC13" s="3" t="s">
        <v>7</v>
      </c>
      <c r="AD13" s="3" t="s">
        <v>7</v>
      </c>
      <c r="AE13" s="3" t="s">
        <v>7</v>
      </c>
      <c r="AF13" s="3" t="s">
        <v>7</v>
      </c>
      <c r="AG13" s="3" t="s">
        <v>7</v>
      </c>
      <c r="AH13" s="3" t="s">
        <v>131</v>
      </c>
      <c r="AI13" s="3" t="s">
        <v>7</v>
      </c>
      <c r="AJ13" s="165" t="s">
        <v>920</v>
      </c>
      <c r="AK13" s="171"/>
      <c r="AL13" s="172"/>
      <c r="AM13" s="3" t="s">
        <v>7</v>
      </c>
      <c r="AN13" s="3" t="s">
        <v>7</v>
      </c>
      <c r="AO13" s="3" t="s">
        <v>7</v>
      </c>
      <c r="AP13" s="3" t="s">
        <v>904</v>
      </c>
      <c r="AQ13" s="3" t="s">
        <v>7</v>
      </c>
      <c r="AR13" s="3" t="s">
        <v>7</v>
      </c>
      <c r="AS13" s="3" t="s">
        <v>7</v>
      </c>
      <c r="AT13" s="3" t="s">
        <v>7</v>
      </c>
      <c r="AU13" s="3" t="s">
        <v>7</v>
      </c>
      <c r="AV13" s="3" t="s">
        <v>7</v>
      </c>
      <c r="AW13" s="3" t="s">
        <v>7</v>
      </c>
      <c r="AX13" s="3" t="s">
        <v>7</v>
      </c>
      <c r="AY13" s="3" t="s">
        <v>7</v>
      </c>
      <c r="AZ13" s="3" t="s">
        <v>114</v>
      </c>
      <c r="BA13" s="104" t="s">
        <v>921</v>
      </c>
      <c r="BB13" s="3" t="s">
        <v>114</v>
      </c>
      <c r="BC13" s="3" t="s">
        <v>114</v>
      </c>
      <c r="BD13" s="3" t="s">
        <v>114</v>
      </c>
      <c r="BE13" s="3" t="s">
        <v>114</v>
      </c>
      <c r="BF13" s="3" t="s">
        <v>114</v>
      </c>
      <c r="BG13" s="3" t="s">
        <v>114</v>
      </c>
      <c r="BH13" s="3" t="s">
        <v>114</v>
      </c>
    </row>
    <row r="14" spans="1:60" ht="61.9" customHeight="1" x14ac:dyDescent="0.3">
      <c r="A14" s="24">
        <v>12</v>
      </c>
      <c r="B14" s="25" t="s">
        <v>31</v>
      </c>
      <c r="C14" s="3" t="s">
        <v>304</v>
      </c>
      <c r="D14" s="3" t="s">
        <v>296</v>
      </c>
      <c r="E14" s="2" t="s">
        <v>275</v>
      </c>
      <c r="F14" s="30" t="s">
        <v>110</v>
      </c>
      <c r="G14" s="25" t="s">
        <v>183</v>
      </c>
      <c r="H14" s="3" t="s">
        <v>112</v>
      </c>
      <c r="I14" s="3" t="s">
        <v>305</v>
      </c>
      <c r="J14" s="13">
        <v>4.4000000000000004</v>
      </c>
      <c r="K14" s="3" t="s">
        <v>114</v>
      </c>
      <c r="L14" s="3" t="s">
        <v>306</v>
      </c>
      <c r="M14" s="3" t="s">
        <v>307</v>
      </c>
      <c r="N14" s="3" t="s">
        <v>117</v>
      </c>
      <c r="O14" s="3" t="s">
        <v>279</v>
      </c>
      <c r="P14" s="3" t="s">
        <v>280</v>
      </c>
      <c r="Q14" s="3" t="s">
        <v>889</v>
      </c>
      <c r="R14" s="3" t="s">
        <v>308</v>
      </c>
      <c r="S14" s="3" t="s">
        <v>309</v>
      </c>
      <c r="T14" s="3" t="s">
        <v>310</v>
      </c>
      <c r="U14" s="3" t="s">
        <v>311</v>
      </c>
      <c r="V14" s="3" t="s">
        <v>285</v>
      </c>
      <c r="W14" s="3" t="s">
        <v>312</v>
      </c>
      <c r="X14" s="28" t="s">
        <v>313</v>
      </c>
      <c r="Y14" s="24" t="s">
        <v>7</v>
      </c>
      <c r="Z14" s="29" t="s">
        <v>287</v>
      </c>
      <c r="AA14" s="3" t="s">
        <v>7</v>
      </c>
      <c r="AB14" s="3" t="s">
        <v>126</v>
      </c>
      <c r="AC14" s="3" t="s">
        <v>7</v>
      </c>
      <c r="AD14" s="3" t="s">
        <v>314</v>
      </c>
      <c r="AE14" s="3" t="s">
        <v>289</v>
      </c>
      <c r="AF14" s="3" t="s">
        <v>290</v>
      </c>
      <c r="AG14" s="3" t="s">
        <v>315</v>
      </c>
      <c r="AH14" s="3" t="s">
        <v>131</v>
      </c>
      <c r="AI14" s="3" t="s">
        <v>316</v>
      </c>
      <c r="AJ14" s="173" t="s">
        <v>922</v>
      </c>
      <c r="AK14" s="174"/>
      <c r="AL14" s="175"/>
      <c r="AM14" s="3" t="s">
        <v>7</v>
      </c>
      <c r="AN14" s="3" t="s">
        <v>7</v>
      </c>
      <c r="AO14" s="3" t="s">
        <v>7</v>
      </c>
      <c r="AP14" s="3" t="s">
        <v>7</v>
      </c>
      <c r="AQ14" s="3" t="s">
        <v>7</v>
      </c>
      <c r="AR14" s="3" t="s">
        <v>7</v>
      </c>
      <c r="AS14" s="3" t="s">
        <v>7</v>
      </c>
      <c r="AT14" s="3" t="s">
        <v>7</v>
      </c>
      <c r="AU14" s="3" t="s">
        <v>7</v>
      </c>
      <c r="AV14" s="3" t="s">
        <v>498</v>
      </c>
      <c r="AW14" s="3" t="s">
        <v>7</v>
      </c>
      <c r="AX14" s="3" t="s">
        <v>7</v>
      </c>
      <c r="AY14" s="3" t="s">
        <v>7</v>
      </c>
      <c r="AZ14" s="3" t="s">
        <v>114</v>
      </c>
      <c r="BA14" s="3" t="s">
        <v>114</v>
      </c>
      <c r="BB14" s="3" t="s">
        <v>114</v>
      </c>
      <c r="BC14" s="3" t="s">
        <v>114</v>
      </c>
      <c r="BD14" s="3" t="s">
        <v>114</v>
      </c>
      <c r="BE14" s="3" t="s">
        <v>114</v>
      </c>
      <c r="BF14" s="3" t="s">
        <v>114</v>
      </c>
      <c r="BG14" s="99" t="s">
        <v>923</v>
      </c>
      <c r="BH14" s="3" t="s">
        <v>114</v>
      </c>
    </row>
    <row r="15" spans="1:60" ht="75.599999999999994" customHeight="1" x14ac:dyDescent="0.3">
      <c r="A15" s="24">
        <v>13</v>
      </c>
      <c r="B15" s="25" t="s">
        <v>32</v>
      </c>
      <c r="C15" s="3" t="s">
        <v>304</v>
      </c>
      <c r="D15" s="3" t="s">
        <v>296</v>
      </c>
      <c r="E15" s="2" t="s">
        <v>275</v>
      </c>
      <c r="F15" s="3" t="s">
        <v>110</v>
      </c>
      <c r="G15" s="30" t="s">
        <v>111</v>
      </c>
      <c r="H15" s="3" t="s">
        <v>164</v>
      </c>
      <c r="I15" s="3" t="s">
        <v>317</v>
      </c>
      <c r="J15" s="13">
        <v>0.11</v>
      </c>
      <c r="K15" s="3" t="s">
        <v>114</v>
      </c>
      <c r="L15" s="26" t="s">
        <v>318</v>
      </c>
      <c r="M15" s="3" t="s">
        <v>307</v>
      </c>
      <c r="N15" s="3" t="s">
        <v>117</v>
      </c>
      <c r="O15" s="3" t="s">
        <v>279</v>
      </c>
      <c r="P15" s="3" t="s">
        <v>319</v>
      </c>
      <c r="Q15" s="3" t="s">
        <v>889</v>
      </c>
      <c r="R15" s="3" t="s">
        <v>320</v>
      </c>
      <c r="S15" s="3" t="s">
        <v>321</v>
      </c>
      <c r="T15" s="3" t="s">
        <v>322</v>
      </c>
      <c r="U15" s="3" t="s">
        <v>7</v>
      </c>
      <c r="V15" s="3" t="s">
        <v>323</v>
      </c>
      <c r="W15" s="3" t="s">
        <v>169</v>
      </c>
      <c r="X15" s="28" t="s">
        <v>324</v>
      </c>
      <c r="Y15" s="24" t="s">
        <v>325</v>
      </c>
      <c r="Z15" s="29" t="s">
        <v>287</v>
      </c>
      <c r="AA15" s="3" t="s">
        <v>7</v>
      </c>
      <c r="AB15" s="3" t="s">
        <v>326</v>
      </c>
      <c r="AC15" s="3" t="s">
        <v>327</v>
      </c>
      <c r="AD15" s="3" t="s">
        <v>328</v>
      </c>
      <c r="AE15" s="3" t="s">
        <v>329</v>
      </c>
      <c r="AF15" s="3" t="s">
        <v>290</v>
      </c>
      <c r="AG15" s="3" t="s">
        <v>330</v>
      </c>
      <c r="AH15" s="3" t="s">
        <v>331</v>
      </c>
      <c r="AI15" s="3" t="s">
        <v>7</v>
      </c>
      <c r="AJ15" s="165" t="s">
        <v>924</v>
      </c>
      <c r="AK15" s="166"/>
      <c r="AL15" s="167"/>
      <c r="AM15" s="3" t="s">
        <v>7</v>
      </c>
      <c r="AN15" s="3" t="s">
        <v>7</v>
      </c>
      <c r="AO15" s="3" t="s">
        <v>7</v>
      </c>
      <c r="AP15" s="3" t="s">
        <v>7</v>
      </c>
      <c r="AQ15" s="3" t="s">
        <v>7</v>
      </c>
      <c r="AR15" s="3" t="s">
        <v>7</v>
      </c>
      <c r="AS15" s="3" t="s">
        <v>7</v>
      </c>
      <c r="AT15" s="3" t="s">
        <v>7</v>
      </c>
      <c r="AU15" s="3" t="s">
        <v>7</v>
      </c>
      <c r="AV15" s="3" t="s">
        <v>498</v>
      </c>
      <c r="AW15" s="3" t="s">
        <v>7</v>
      </c>
      <c r="AX15" s="3" t="s">
        <v>7</v>
      </c>
      <c r="AY15" s="3" t="s">
        <v>7</v>
      </c>
      <c r="AZ15" s="3" t="s">
        <v>114</v>
      </c>
      <c r="BA15" s="3" t="s">
        <v>114</v>
      </c>
      <c r="BB15" s="3" t="s">
        <v>114</v>
      </c>
      <c r="BC15" s="3" t="s">
        <v>114</v>
      </c>
      <c r="BD15" s="3" t="s">
        <v>114</v>
      </c>
      <c r="BE15" s="3" t="s">
        <v>114</v>
      </c>
      <c r="BF15" s="3" t="s">
        <v>114</v>
      </c>
      <c r="BG15" s="14" t="s">
        <v>925</v>
      </c>
      <c r="BH15" s="3" t="s">
        <v>114</v>
      </c>
    </row>
    <row r="16" spans="1:60" ht="73.150000000000006" customHeight="1" x14ac:dyDescent="0.3">
      <c r="A16" s="24">
        <v>14</v>
      </c>
      <c r="B16" s="25" t="s">
        <v>43</v>
      </c>
      <c r="C16" s="31" t="s">
        <v>462</v>
      </c>
      <c r="D16" s="3" t="s">
        <v>334</v>
      </c>
      <c r="E16" s="2" t="s">
        <v>275</v>
      </c>
      <c r="F16" s="3" t="s">
        <v>110</v>
      </c>
      <c r="G16" s="3" t="s">
        <v>111</v>
      </c>
      <c r="H16" s="3" t="s">
        <v>112</v>
      </c>
      <c r="I16" s="31" t="s">
        <v>463</v>
      </c>
      <c r="J16" s="13">
        <v>0.73</v>
      </c>
      <c r="K16" s="28" t="s">
        <v>114</v>
      </c>
      <c r="L16" s="24" t="s">
        <v>464</v>
      </c>
      <c r="M16" s="3" t="s">
        <v>116</v>
      </c>
      <c r="N16" s="3" t="s">
        <v>225</v>
      </c>
      <c r="O16" s="3" t="s">
        <v>465</v>
      </c>
      <c r="P16" s="3" t="s">
        <v>466</v>
      </c>
      <c r="Q16" s="3" t="s">
        <v>889</v>
      </c>
      <c r="R16" s="3" t="s">
        <v>467</v>
      </c>
      <c r="S16" s="3" t="s">
        <v>468</v>
      </c>
      <c r="T16" s="3" t="s">
        <v>469</v>
      </c>
      <c r="U16" s="3" t="s">
        <v>7</v>
      </c>
      <c r="V16" s="3" t="s">
        <v>7</v>
      </c>
      <c r="W16" s="3" t="s">
        <v>312</v>
      </c>
      <c r="X16" s="28" t="s">
        <v>7</v>
      </c>
      <c r="Y16" s="24" t="s">
        <v>7</v>
      </c>
      <c r="Z16" s="25" t="s">
        <v>125</v>
      </c>
      <c r="AA16" s="3" t="s">
        <v>470</v>
      </c>
      <c r="AB16" s="3" t="s">
        <v>471</v>
      </c>
      <c r="AC16" s="3" t="s">
        <v>7</v>
      </c>
      <c r="AD16" s="3" t="s">
        <v>7</v>
      </c>
      <c r="AE16" s="3" t="s">
        <v>472</v>
      </c>
      <c r="AF16" s="3" t="s">
        <v>374</v>
      </c>
      <c r="AG16" s="3" t="s">
        <v>7</v>
      </c>
      <c r="AH16" s="3" t="s">
        <v>131</v>
      </c>
      <c r="AI16" s="3" t="s">
        <v>473</v>
      </c>
      <c r="AJ16" s="165" t="s">
        <v>926</v>
      </c>
      <c r="AK16" s="171"/>
      <c r="AL16" s="172"/>
      <c r="AM16" s="3" t="s">
        <v>7</v>
      </c>
      <c r="AN16" s="3" t="s">
        <v>7</v>
      </c>
      <c r="AO16" s="3" t="s">
        <v>7</v>
      </c>
      <c r="AP16" s="3" t="s">
        <v>904</v>
      </c>
      <c r="AQ16" s="3" t="s">
        <v>7</v>
      </c>
      <c r="AR16" s="3" t="s">
        <v>7</v>
      </c>
      <c r="AS16" s="3" t="s">
        <v>7</v>
      </c>
      <c r="AT16" s="3" t="s">
        <v>7</v>
      </c>
      <c r="AU16" s="3" t="s">
        <v>7</v>
      </c>
      <c r="AV16" s="3" t="s">
        <v>7</v>
      </c>
      <c r="AW16" s="3" t="s">
        <v>7</v>
      </c>
      <c r="AX16" s="3" t="s">
        <v>7</v>
      </c>
      <c r="AY16" s="3" t="s">
        <v>7</v>
      </c>
      <c r="AZ16" s="3" t="s">
        <v>114</v>
      </c>
      <c r="BA16" s="2" t="s">
        <v>927</v>
      </c>
      <c r="BB16" s="3" t="s">
        <v>114</v>
      </c>
      <c r="BC16" s="3" t="s">
        <v>114</v>
      </c>
      <c r="BD16" s="3" t="s">
        <v>114</v>
      </c>
      <c r="BE16" s="3" t="s">
        <v>114</v>
      </c>
      <c r="BF16" s="3" t="s">
        <v>114</v>
      </c>
      <c r="BG16" s="4" t="s">
        <v>114</v>
      </c>
      <c r="BH16" s="3" t="s">
        <v>114</v>
      </c>
    </row>
    <row r="17" spans="1:60" ht="58.9" customHeight="1" x14ac:dyDescent="0.3">
      <c r="A17" s="24">
        <v>15</v>
      </c>
      <c r="B17" s="25" t="s">
        <v>29</v>
      </c>
      <c r="C17" s="3" t="s">
        <v>273</v>
      </c>
      <c r="D17" s="3" t="s">
        <v>274</v>
      </c>
      <c r="E17" s="2" t="s">
        <v>275</v>
      </c>
      <c r="F17" s="3" t="s">
        <v>110</v>
      </c>
      <c r="G17" s="3" t="s">
        <v>183</v>
      </c>
      <c r="H17" s="3" t="s">
        <v>164</v>
      </c>
      <c r="I17" s="3" t="s">
        <v>276</v>
      </c>
      <c r="J17" s="13">
        <v>0.11600000000000001</v>
      </c>
      <c r="K17" s="3" t="s">
        <v>114</v>
      </c>
      <c r="L17" s="5" t="s">
        <v>277</v>
      </c>
      <c r="M17" s="3" t="s">
        <v>116</v>
      </c>
      <c r="N17" s="3" t="s">
        <v>278</v>
      </c>
      <c r="O17" s="3" t="s">
        <v>279</v>
      </c>
      <c r="P17" s="3" t="s">
        <v>280</v>
      </c>
      <c r="Q17" s="3" t="s">
        <v>889</v>
      </c>
      <c r="R17" s="3" t="s">
        <v>281</v>
      </c>
      <c r="S17" s="3" t="s">
        <v>282</v>
      </c>
      <c r="T17" s="3" t="s">
        <v>283</v>
      </c>
      <c r="U17" s="3" t="s">
        <v>284</v>
      </c>
      <c r="V17" s="3" t="s">
        <v>285</v>
      </c>
      <c r="W17" s="3" t="s">
        <v>169</v>
      </c>
      <c r="X17" s="28" t="s">
        <v>149</v>
      </c>
      <c r="Y17" s="24" t="s">
        <v>286</v>
      </c>
      <c r="Z17" s="29" t="s">
        <v>287</v>
      </c>
      <c r="AA17" s="3" t="s">
        <v>7</v>
      </c>
      <c r="AB17" s="3" t="s">
        <v>126</v>
      </c>
      <c r="AC17" s="3" t="s">
        <v>928</v>
      </c>
      <c r="AD17" s="3" t="s">
        <v>288</v>
      </c>
      <c r="AE17" s="3" t="s">
        <v>289</v>
      </c>
      <c r="AF17" s="3" t="s">
        <v>290</v>
      </c>
      <c r="AG17" s="5" t="s">
        <v>291</v>
      </c>
      <c r="AH17" s="3" t="s">
        <v>7</v>
      </c>
      <c r="AI17" s="3" t="s">
        <v>292</v>
      </c>
      <c r="AJ17" s="161" t="s">
        <v>929</v>
      </c>
      <c r="AK17" s="162"/>
      <c r="AL17" s="163"/>
      <c r="AM17" s="3" t="s">
        <v>7</v>
      </c>
      <c r="AN17" s="3" t="s">
        <v>7</v>
      </c>
      <c r="AO17" s="3" t="s">
        <v>7</v>
      </c>
      <c r="AP17" s="3" t="s">
        <v>900</v>
      </c>
      <c r="AQ17" s="3" t="s">
        <v>7</v>
      </c>
      <c r="AR17" s="3" t="s">
        <v>7</v>
      </c>
      <c r="AS17" s="3" t="s">
        <v>7</v>
      </c>
      <c r="AT17" s="3" t="s">
        <v>7</v>
      </c>
      <c r="AU17" s="3" t="s">
        <v>7</v>
      </c>
      <c r="AV17" s="3" t="s">
        <v>7</v>
      </c>
      <c r="AW17" s="3" t="s">
        <v>7</v>
      </c>
      <c r="AX17" s="3" t="s">
        <v>7</v>
      </c>
      <c r="AY17" s="3" t="s">
        <v>7</v>
      </c>
      <c r="AZ17" s="3" t="s">
        <v>114</v>
      </c>
      <c r="BA17" s="4" t="s">
        <v>930</v>
      </c>
      <c r="BB17" s="3" t="s">
        <v>114</v>
      </c>
      <c r="BC17" s="3" t="s">
        <v>114</v>
      </c>
      <c r="BD17" s="3" t="s">
        <v>114</v>
      </c>
      <c r="BE17" s="3" t="s">
        <v>114</v>
      </c>
      <c r="BF17" s="3" t="s">
        <v>114</v>
      </c>
      <c r="BG17" s="3" t="s">
        <v>114</v>
      </c>
      <c r="BH17" s="3" t="s">
        <v>114</v>
      </c>
    </row>
    <row r="18" spans="1:60" ht="63" customHeight="1" x14ac:dyDescent="0.3">
      <c r="A18" s="24">
        <v>16</v>
      </c>
      <c r="B18" s="29" t="s">
        <v>35</v>
      </c>
      <c r="C18" s="26" t="s">
        <v>356</v>
      </c>
      <c r="D18" s="26" t="s">
        <v>296</v>
      </c>
      <c r="E18" s="2" t="s">
        <v>275</v>
      </c>
      <c r="F18" s="26" t="s">
        <v>182</v>
      </c>
      <c r="G18" s="26" t="s">
        <v>235</v>
      </c>
      <c r="H18" s="32" t="s">
        <v>112</v>
      </c>
      <c r="I18" s="26" t="s">
        <v>357</v>
      </c>
      <c r="J18" s="15">
        <v>1.2</v>
      </c>
      <c r="K18" s="32" t="s">
        <v>114</v>
      </c>
      <c r="L18" s="26" t="s">
        <v>358</v>
      </c>
      <c r="M18" s="29" t="s">
        <v>337</v>
      </c>
      <c r="N18" s="26" t="s">
        <v>117</v>
      </c>
      <c r="O18" s="26" t="s">
        <v>359</v>
      </c>
      <c r="P18" s="26" t="s">
        <v>280</v>
      </c>
      <c r="Q18" s="26" t="s">
        <v>889</v>
      </c>
      <c r="R18" s="26" t="s">
        <v>360</v>
      </c>
      <c r="S18" s="26" t="s">
        <v>361</v>
      </c>
      <c r="T18" s="26" t="s">
        <v>362</v>
      </c>
      <c r="U18" s="26" t="s">
        <v>7</v>
      </c>
      <c r="V18" s="26" t="s">
        <v>7</v>
      </c>
      <c r="W18" s="26" t="s">
        <v>7</v>
      </c>
      <c r="X18" s="32" t="s">
        <v>289</v>
      </c>
      <c r="Y18" s="10" t="s">
        <v>7</v>
      </c>
      <c r="Z18" s="29" t="s">
        <v>287</v>
      </c>
      <c r="AA18" s="26" t="s">
        <v>7</v>
      </c>
      <c r="AB18" s="26" t="s">
        <v>326</v>
      </c>
      <c r="AC18" s="26" t="s">
        <v>7</v>
      </c>
      <c r="AD18" s="26" t="s">
        <v>127</v>
      </c>
      <c r="AE18" s="26" t="s">
        <v>363</v>
      </c>
      <c r="AF18" s="26" t="s">
        <v>7</v>
      </c>
      <c r="AG18" s="26" t="s">
        <v>7</v>
      </c>
      <c r="AH18" s="26" t="s">
        <v>7</v>
      </c>
      <c r="AI18" s="26" t="s">
        <v>364</v>
      </c>
      <c r="AJ18" s="161" t="s">
        <v>931</v>
      </c>
      <c r="AK18" s="162"/>
      <c r="AL18" s="163"/>
      <c r="AM18" s="3" t="s">
        <v>7</v>
      </c>
      <c r="AN18" s="3" t="s">
        <v>7</v>
      </c>
      <c r="AO18" s="3" t="s">
        <v>7</v>
      </c>
      <c r="AP18" s="26" t="s">
        <v>7</v>
      </c>
      <c r="AQ18" s="26" t="s">
        <v>498</v>
      </c>
      <c r="AR18" s="3" t="s">
        <v>7</v>
      </c>
      <c r="AS18" s="3" t="s">
        <v>7</v>
      </c>
      <c r="AT18" s="3" t="s">
        <v>7</v>
      </c>
      <c r="AU18" s="3" t="s">
        <v>7</v>
      </c>
      <c r="AV18" s="26" t="s">
        <v>7</v>
      </c>
      <c r="AW18" s="26" t="s">
        <v>7</v>
      </c>
      <c r="AX18" s="26" t="s">
        <v>7</v>
      </c>
      <c r="AY18" s="26" t="s">
        <v>7</v>
      </c>
      <c r="AZ18" s="26" t="s">
        <v>114</v>
      </c>
      <c r="BA18" s="26" t="s">
        <v>114</v>
      </c>
      <c r="BB18" s="26" t="s">
        <v>932</v>
      </c>
      <c r="BC18" s="26" t="s">
        <v>114</v>
      </c>
      <c r="BD18" s="26" t="s">
        <v>114</v>
      </c>
      <c r="BE18" s="26" t="s">
        <v>114</v>
      </c>
      <c r="BF18" s="26" t="s">
        <v>114</v>
      </c>
      <c r="BG18" s="26" t="s">
        <v>114</v>
      </c>
      <c r="BH18" s="26" t="s">
        <v>114</v>
      </c>
    </row>
    <row r="19" spans="1:60" ht="63.6" customHeight="1" x14ac:dyDescent="0.3">
      <c r="A19" s="24">
        <v>17</v>
      </c>
      <c r="B19" s="24" t="s">
        <v>30</v>
      </c>
      <c r="C19" s="24" t="s">
        <v>295</v>
      </c>
      <c r="D19" s="24" t="s">
        <v>296</v>
      </c>
      <c r="E19" s="2" t="s">
        <v>275</v>
      </c>
      <c r="F19" s="24" t="s">
        <v>182</v>
      </c>
      <c r="G19" s="24" t="s">
        <v>183</v>
      </c>
      <c r="H19" s="24" t="s">
        <v>112</v>
      </c>
      <c r="I19" s="24" t="s">
        <v>184</v>
      </c>
      <c r="J19" s="8">
        <v>0.45</v>
      </c>
      <c r="K19" s="24" t="s">
        <v>114</v>
      </c>
      <c r="L19" s="24" t="s">
        <v>297</v>
      </c>
      <c r="M19" s="3" t="s">
        <v>116</v>
      </c>
      <c r="N19" s="26" t="s">
        <v>117</v>
      </c>
      <c r="O19" s="24" t="s">
        <v>187</v>
      </c>
      <c r="P19" s="24" t="s">
        <v>239</v>
      </c>
      <c r="Q19" s="24" t="s">
        <v>889</v>
      </c>
      <c r="R19" s="10" t="s">
        <v>298</v>
      </c>
      <c r="S19" s="24" t="s">
        <v>299</v>
      </c>
      <c r="T19" s="24" t="s">
        <v>300</v>
      </c>
      <c r="U19" s="24" t="s">
        <v>284</v>
      </c>
      <c r="V19" s="24" t="s">
        <v>285</v>
      </c>
      <c r="W19" s="10"/>
      <c r="X19" s="105" t="s">
        <v>301</v>
      </c>
      <c r="Y19" s="24" t="s">
        <v>194</v>
      </c>
      <c r="Z19" s="106" t="s">
        <v>125</v>
      </c>
      <c r="AA19" s="24" t="s">
        <v>7</v>
      </c>
      <c r="AB19" s="25" t="s">
        <v>126</v>
      </c>
      <c r="AC19" s="10" t="s">
        <v>7</v>
      </c>
      <c r="AD19" s="10" t="s">
        <v>7</v>
      </c>
      <c r="AE19" s="24" t="s">
        <v>198</v>
      </c>
      <c r="AF19" s="10" t="s">
        <v>7</v>
      </c>
      <c r="AG19" s="24" t="s">
        <v>302</v>
      </c>
      <c r="AH19" s="24" t="s">
        <v>7</v>
      </c>
      <c r="AI19" s="24" t="s">
        <v>292</v>
      </c>
      <c r="AJ19" s="16" t="s">
        <v>303</v>
      </c>
      <c r="AK19" s="10"/>
      <c r="AL19" s="10"/>
      <c r="AM19" s="3" t="s">
        <v>7</v>
      </c>
      <c r="AN19" s="3" t="s">
        <v>7</v>
      </c>
      <c r="AO19" s="10" t="s">
        <v>7</v>
      </c>
      <c r="AP19" s="3" t="s">
        <v>498</v>
      </c>
      <c r="AQ19" s="10" t="s">
        <v>7</v>
      </c>
      <c r="AR19" s="3" t="s">
        <v>7</v>
      </c>
      <c r="AS19" s="3" t="s">
        <v>7</v>
      </c>
      <c r="AT19" s="3" t="s">
        <v>7</v>
      </c>
      <c r="AU19" s="3" t="s">
        <v>7</v>
      </c>
      <c r="AV19" s="10" t="s">
        <v>7</v>
      </c>
      <c r="AW19" s="10" t="s">
        <v>7</v>
      </c>
      <c r="AX19" s="10" t="s">
        <v>7</v>
      </c>
      <c r="AY19" s="10" t="s">
        <v>7</v>
      </c>
      <c r="AZ19" s="10" t="s">
        <v>7</v>
      </c>
      <c r="BA19" s="16" t="s">
        <v>933</v>
      </c>
      <c r="BB19" s="10" t="s">
        <v>114</v>
      </c>
      <c r="BC19" s="10" t="s">
        <v>114</v>
      </c>
      <c r="BD19" s="10" t="s">
        <v>114</v>
      </c>
      <c r="BE19" s="10" t="s">
        <v>114</v>
      </c>
      <c r="BF19" s="10" t="s">
        <v>114</v>
      </c>
      <c r="BG19" s="10" t="s">
        <v>114</v>
      </c>
      <c r="BH19" s="10" t="s">
        <v>114</v>
      </c>
    </row>
    <row r="20" spans="1:60" x14ac:dyDescent="0.3">
      <c r="A20" s="164" t="s">
        <v>934</v>
      </c>
      <c r="B20" s="164"/>
      <c r="C20" s="164"/>
      <c r="D20" s="164"/>
      <c r="E20" s="164"/>
      <c r="F20" s="164"/>
      <c r="G20" s="164"/>
    </row>
  </sheetData>
  <mergeCells count="22">
    <mergeCell ref="Z1:AC1"/>
    <mergeCell ref="AJ1:AL2"/>
    <mergeCell ref="A1:A2"/>
    <mergeCell ref="B1:B2"/>
    <mergeCell ref="C1:K1"/>
    <mergeCell ref="L1:Q1"/>
    <mergeCell ref="R1:Y1"/>
    <mergeCell ref="AM1:AW1"/>
    <mergeCell ref="AX1:BH1"/>
    <mergeCell ref="AJ3:AL3"/>
    <mergeCell ref="AJ6:AL6"/>
    <mergeCell ref="AJ16:AL16"/>
    <mergeCell ref="AJ9:AL9"/>
    <mergeCell ref="AJ17:AL17"/>
    <mergeCell ref="AJ18:AL18"/>
    <mergeCell ref="A20:G20"/>
    <mergeCell ref="AJ10:AL10"/>
    <mergeCell ref="AJ11:AL11"/>
    <mergeCell ref="AJ12:AL12"/>
    <mergeCell ref="AJ13:AL13"/>
    <mergeCell ref="AJ14:AL14"/>
    <mergeCell ref="AJ15:AL15"/>
  </mergeCells>
  <hyperlinks>
    <hyperlink ref="AJ3" r:id="rId1" xr:uid="{04AEDE51-7388-42D9-8DE6-83C63569A44D}"/>
    <hyperlink ref="BA3" r:id="rId2" display="CERAGEM CERA-STAT™ 2000 for Sale - Bimedis - India" xr:uid="{E9BB1448-C555-48D7-A4DB-7C66E50089E9}"/>
    <hyperlink ref="AZ3" r:id="rId3" display="Green Cross Medical Science Corp. | Medical Manufacturer Directory (omnia-health.com)     Ceragem Medisys Inc. 3-2 Jeongchon-ri, Seonggeo-eup, Seobuk-gu, Cheonan, Chungcheongnam, 331833, Korea South" xr:uid="{114E3E99-AFD0-4343-AC3A-DD337CD4C35C}"/>
    <hyperlink ref="AJ4" r:id="rId4" location=" " xr:uid="{8B4E44A7-36BC-4B4D-B69F-6A6B19190544}"/>
    <hyperlink ref="BA4" r:id="rId5" display="1. Blood Glucose Meter Supplier,Digital Blood Glucose Meter Exporter,India (kannuimpex.com)" xr:uid="{5705D386-9209-43C9-848E-DDA086918B9B}"/>
    <hyperlink ref="AJ6" r:id="rId6" xr:uid="{472DDD48-E3D7-41C0-A957-F9D6548F42D8}"/>
    <hyperlink ref="BB7" r:id="rId7" display="ARKRAY, Inc." xr:uid="{C1BFF830-9068-4143-9BB0-A2059EDFEA14}"/>
    <hyperlink ref="BB5" r:id="rId8" xr:uid="{BCB417EE-BB2C-423D-9FDC-C134E25582BC}"/>
    <hyperlink ref="AZ4" r:id="rId9" display="OSANG Healthcare (osanghc.com)" xr:uid="{086892BD-E6CC-49CF-BB99-20597539E117}"/>
    <hyperlink ref="BA10" r:id="rId10" display="Rapid Card and Biochemistry Analyzer Reagents Manufacturer | Raj Biosis Private Limited, Jaipur" xr:uid="{51C154FF-7BF8-49F9-8A9F-37C370738346}"/>
    <hyperlink ref="AJ12" r:id="rId11" xr:uid="{247524A9-739E-43B1-BF6C-1A6402B3B480}"/>
    <hyperlink ref="BA12" r:id="rId12" xr:uid="{3CA3D1F0-A82B-41A9-AEBD-2B3A313306C9}"/>
    <hyperlink ref="AJ13" r:id="rId13" xr:uid="{659BE70F-64C4-4923-B501-D9890323F751}"/>
    <hyperlink ref="AJ14" r:id="rId14" xr:uid="{1578BDFD-5876-47C6-8E1E-3BAE93218C69}"/>
    <hyperlink ref="AJ16" r:id="rId15" xr:uid="{108A44DC-1151-4E45-8983-C30D49DAEF6A}"/>
    <hyperlink ref="BG16" r:id="rId16" display="HbA1c Analyzer เครื่องตรวจวิเคราะห์ฮีโมโกลบินเอวันซี (biozen.co.th)" xr:uid="{6BB19FCA-26B5-43F8-A455-994FED0A1E6A}"/>
    <hyperlink ref="AJ17" r:id="rId17" xr:uid="{7BE32B3D-DFDD-4290-B854-CF72AE7AC557}"/>
    <hyperlink ref="AJ18" r:id="rId18" xr:uid="{67AB591D-F803-40F3-96D3-9310379904E9}"/>
    <hyperlink ref="AJ10" r:id="rId19" xr:uid="{9CC6D613-09D7-499A-9B28-4852B47353D1}"/>
    <hyperlink ref="AJ15" r:id="rId20" xr:uid="{AE0DF8CA-23E3-4FFB-8179-C1463D51AC44}"/>
    <hyperlink ref="AJ9" r:id="rId21" xr:uid="{4D8B138E-B4D2-4C8F-9BA0-62C8C12B5FB9}"/>
    <hyperlink ref="AJ19" r:id="rId22" xr:uid="{386569DF-E8CE-4D57-83B6-CE2DFAB2DC0D}"/>
    <hyperlink ref="BA5" r:id="rId23" display="1. Blood Glucose Meter Supplier,Digital Blood Glucose Meter Exporter,India (kannuimpex.com)" xr:uid="{D6EF24AE-DC6C-42D2-A406-CF9809FC4245}"/>
    <hyperlink ref="BA13" r:id="rId24" xr:uid="{4459D896-EF18-4B4D-B369-B4771D3045CD}"/>
    <hyperlink ref="BG8" r:id="rId25" xr:uid="{37FC718C-24FB-4169-9B7B-294F37BE820D}"/>
    <hyperlink ref="BG15" r:id="rId26" xr:uid="{242D60DC-168E-4A7B-AC93-232329D9CB9A}"/>
    <hyperlink ref="BA19" r:id="rId27" xr:uid="{E1083977-BD26-4B98-BB6E-F6AA2045E250}"/>
    <hyperlink ref="AJ8" r:id="rId28" xr:uid="{5B57C04E-C0E9-40BC-B04D-7E33A6ABA559}"/>
    <hyperlink ref="AJ11" r:id="rId29" xr:uid="{ACEAC255-9BB8-43C5-96D0-734D4B25C56E}"/>
    <hyperlink ref="BA9" r:id="rId30" display="https://www.cadenamedical.com/  https://www.indiamart.com/proddetail/hba1c-analyzer-9079685062.html  " xr:uid="{60E4277C-D82F-48F0-B0AE-942DDD0516C6}"/>
    <hyperlink ref="AJ5" r:id="rId31" xr:uid="{E6B1F13D-1B87-4E5A-ABC0-4FBA2C78E42E}"/>
    <hyperlink ref="AJ7" r:id="rId32" xr:uid="{7DA85216-A62B-4AC1-99FF-2AF492BB45DB}"/>
    <hyperlink ref="BA17" r:id="rId33" display="https://www.hospitalstore.com/accurex-xpress-a1c-handheld-hba1c-analyzer-approved-by-fda-result-in-just-5-minute/" xr:uid="{23C0E3EE-D3CD-4858-B5E1-1DF0B261432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1DBBC-06F9-400C-A5DB-299EA22312E9}">
  <sheetPr codeName="Sheet2"/>
  <dimension ref="A1:BH36"/>
  <sheetViews>
    <sheetView topLeftCell="AH33" workbookViewId="0">
      <selection activeCell="AO43" sqref="AO43"/>
    </sheetView>
  </sheetViews>
  <sheetFormatPr defaultRowHeight="16.5" x14ac:dyDescent="0.3"/>
  <cols>
    <col min="2" max="2" width="15.375" customWidth="1"/>
    <col min="3" max="3" width="14.625" customWidth="1"/>
    <col min="4" max="4" width="75.875" customWidth="1"/>
    <col min="5" max="5" width="46" customWidth="1"/>
    <col min="6" max="6" width="15.25" customWidth="1"/>
    <col min="7" max="7" width="13" customWidth="1"/>
    <col min="8" max="8" width="12.5" customWidth="1"/>
    <col min="9" max="9" width="20.75" customWidth="1"/>
    <col min="11" max="11" width="29.625" customWidth="1"/>
    <col min="12" max="12" width="24.625" customWidth="1"/>
    <col min="13" max="13" width="17.625" customWidth="1"/>
    <col min="14" max="14" width="17.25" customWidth="1"/>
    <col min="15" max="15" width="10.375" customWidth="1"/>
    <col min="16" max="16" width="10.875" customWidth="1"/>
    <col min="17" max="17" width="11.5" customWidth="1"/>
    <col min="18" max="18" width="21.375" customWidth="1"/>
    <col min="19" max="19" width="17.625" customWidth="1"/>
    <col min="20" max="20" width="28.25" customWidth="1"/>
    <col min="21" max="21" width="22.625" customWidth="1"/>
    <col min="22" max="22" width="20.25" customWidth="1"/>
    <col min="23" max="23" width="28.5" customWidth="1"/>
    <col min="24" max="24" width="18.25" customWidth="1"/>
    <col min="25" max="25" width="14.625" customWidth="1"/>
    <col min="26" max="26" width="14.75" customWidth="1"/>
    <col min="27" max="27" width="34.875" customWidth="1"/>
    <col min="28" max="28" width="13.875" customWidth="1"/>
    <col min="29" max="29" width="37.25" customWidth="1"/>
    <col min="30" max="30" width="24.625" customWidth="1"/>
    <col min="31" max="31" width="17.75" customWidth="1"/>
    <col min="33" max="33" width="13.25" customWidth="1"/>
    <col min="34" max="34" width="18.625" customWidth="1"/>
    <col min="35" max="35" width="15.5" customWidth="1"/>
    <col min="36" max="36" width="28.25" customWidth="1"/>
    <col min="39" max="39" width="13.5" customWidth="1"/>
    <col min="41" max="41" width="17.375" customWidth="1"/>
    <col min="42" max="42" width="15.875" customWidth="1"/>
    <col min="43" max="43" width="16.625" customWidth="1"/>
    <col min="44" max="44" width="17.375" customWidth="1"/>
    <col min="45" max="45" width="16.5" customWidth="1"/>
    <col min="48" max="48" width="15.625" customWidth="1"/>
    <col min="50" max="50" width="27.625" customWidth="1"/>
    <col min="51" max="51" width="14.75" customWidth="1"/>
    <col min="52" max="52" width="22" customWidth="1"/>
    <col min="53" max="53" width="30.25" customWidth="1"/>
    <col min="54" max="54" width="25" customWidth="1"/>
    <col min="55" max="55" width="17.375" customWidth="1"/>
    <col min="56" max="56" width="21.75" customWidth="1"/>
    <col min="58" max="58" width="21" customWidth="1"/>
    <col min="59" max="59" width="24" customWidth="1"/>
    <col min="60" max="60" width="23.25" customWidth="1"/>
  </cols>
  <sheetData>
    <row r="1" spans="1:60" x14ac:dyDescent="0.3">
      <c r="A1" s="223" t="s">
        <v>880</v>
      </c>
      <c r="B1" s="223" t="s">
        <v>0</v>
      </c>
      <c r="C1" s="224" t="s">
        <v>881</v>
      </c>
      <c r="D1" s="225"/>
      <c r="E1" s="225"/>
      <c r="F1" s="225"/>
      <c r="G1" s="225"/>
      <c r="H1" s="225"/>
      <c r="I1" s="225"/>
      <c r="J1" s="225"/>
      <c r="K1" s="226"/>
      <c r="L1" s="227" t="s">
        <v>882</v>
      </c>
      <c r="M1" s="227"/>
      <c r="N1" s="227"/>
      <c r="O1" s="227"/>
      <c r="P1" s="227"/>
      <c r="Q1" s="227"/>
      <c r="R1" s="228" t="s">
        <v>883</v>
      </c>
      <c r="S1" s="228"/>
      <c r="T1" s="228"/>
      <c r="U1" s="228"/>
      <c r="V1" s="228"/>
      <c r="W1" s="228"/>
      <c r="X1" s="228"/>
      <c r="Y1" s="228"/>
      <c r="Z1" s="221" t="s">
        <v>884</v>
      </c>
      <c r="AA1" s="221"/>
      <c r="AB1" s="221"/>
      <c r="AC1" s="221"/>
      <c r="AD1" s="222" t="s">
        <v>885</v>
      </c>
      <c r="AE1" s="222"/>
      <c r="AF1" s="222"/>
      <c r="AG1" s="222"/>
      <c r="AH1" s="222"/>
      <c r="AI1" s="222"/>
      <c r="AJ1" s="223" t="s">
        <v>106</v>
      </c>
      <c r="AK1" s="223"/>
      <c r="AL1" s="223"/>
      <c r="AM1" s="207" t="s">
        <v>886</v>
      </c>
      <c r="AN1" s="207"/>
      <c r="AO1" s="207"/>
      <c r="AP1" s="207"/>
      <c r="AQ1" s="207"/>
      <c r="AR1" s="207"/>
      <c r="AS1" s="207"/>
      <c r="AT1" s="207"/>
      <c r="AU1" s="207"/>
      <c r="AV1" s="207"/>
      <c r="AW1" s="207"/>
      <c r="AX1" s="208" t="s">
        <v>887</v>
      </c>
      <c r="AY1" s="208"/>
      <c r="AZ1" s="208"/>
      <c r="BA1" s="208"/>
      <c r="BB1" s="208"/>
      <c r="BC1" s="208"/>
      <c r="BD1" s="208"/>
      <c r="BE1" s="208"/>
      <c r="BF1" s="208"/>
      <c r="BG1" s="208"/>
      <c r="BH1" s="208"/>
    </row>
    <row r="2" spans="1:60" ht="30" customHeight="1" x14ac:dyDescent="0.3">
      <c r="A2" s="223"/>
      <c r="B2" s="223"/>
      <c r="C2" s="107" t="s">
        <v>73</v>
      </c>
      <c r="D2" s="108" t="s">
        <v>935</v>
      </c>
      <c r="E2" s="108" t="s">
        <v>936</v>
      </c>
      <c r="F2" s="108" t="s">
        <v>76</v>
      </c>
      <c r="G2" s="108" t="s">
        <v>77</v>
      </c>
      <c r="H2" s="108" t="s">
        <v>78</v>
      </c>
      <c r="I2" s="107" t="s">
        <v>79</v>
      </c>
      <c r="J2" s="109" t="s">
        <v>80</v>
      </c>
      <c r="K2" s="107" t="s">
        <v>81</v>
      </c>
      <c r="L2" s="107" t="s">
        <v>82</v>
      </c>
      <c r="M2" s="107" t="s">
        <v>83</v>
      </c>
      <c r="N2" s="107" t="s">
        <v>84</v>
      </c>
      <c r="O2" s="107" t="s">
        <v>85</v>
      </c>
      <c r="P2" s="107" t="s">
        <v>86</v>
      </c>
      <c r="Q2" s="107" t="s">
        <v>87</v>
      </c>
      <c r="R2" s="107" t="s">
        <v>88</v>
      </c>
      <c r="S2" s="107" t="s">
        <v>89</v>
      </c>
      <c r="T2" s="107" t="s">
        <v>90</v>
      </c>
      <c r="U2" s="107" t="s">
        <v>91</v>
      </c>
      <c r="V2" s="107" t="s">
        <v>92</v>
      </c>
      <c r="W2" s="107" t="s">
        <v>93</v>
      </c>
      <c r="X2" s="107" t="s">
        <v>937</v>
      </c>
      <c r="Y2" s="107" t="s">
        <v>95</v>
      </c>
      <c r="Z2" s="107" t="s">
        <v>96</v>
      </c>
      <c r="AA2" s="107" t="s">
        <v>97</v>
      </c>
      <c r="AB2" s="107" t="s">
        <v>98</v>
      </c>
      <c r="AC2" s="107" t="s">
        <v>99</v>
      </c>
      <c r="AD2" s="107" t="s">
        <v>100</v>
      </c>
      <c r="AE2" s="107" t="s">
        <v>101</v>
      </c>
      <c r="AF2" s="107" t="s">
        <v>102</v>
      </c>
      <c r="AG2" s="107" t="s">
        <v>103</v>
      </c>
      <c r="AH2" s="107" t="s">
        <v>104</v>
      </c>
      <c r="AI2" s="107" t="s">
        <v>105</v>
      </c>
      <c r="AJ2" s="223"/>
      <c r="AK2" s="223"/>
      <c r="AL2" s="223"/>
      <c r="AM2" s="107" t="s">
        <v>6</v>
      </c>
      <c r="AN2" s="107" t="s">
        <v>8</v>
      </c>
      <c r="AO2" s="107" t="s">
        <v>9</v>
      </c>
      <c r="AP2" s="107" t="s">
        <v>10</v>
      </c>
      <c r="AQ2" s="107" t="s">
        <v>12</v>
      </c>
      <c r="AR2" s="107" t="s">
        <v>14</v>
      </c>
      <c r="AS2" s="107" t="s">
        <v>15</v>
      </c>
      <c r="AT2" s="107" t="s">
        <v>16</v>
      </c>
      <c r="AU2" s="107" t="s">
        <v>17</v>
      </c>
      <c r="AV2" s="107" t="s">
        <v>18</v>
      </c>
      <c r="AW2" s="107" t="s">
        <v>19</v>
      </c>
      <c r="AX2" s="107" t="s">
        <v>6</v>
      </c>
      <c r="AY2" s="107" t="s">
        <v>8</v>
      </c>
      <c r="AZ2" s="107" t="s">
        <v>9</v>
      </c>
      <c r="BA2" s="107" t="s">
        <v>10</v>
      </c>
      <c r="BB2" s="107" t="s">
        <v>12</v>
      </c>
      <c r="BC2" s="107" t="s">
        <v>14</v>
      </c>
      <c r="BD2" s="107" t="s">
        <v>15</v>
      </c>
      <c r="BE2" s="107" t="s">
        <v>16</v>
      </c>
      <c r="BF2" s="107" t="s">
        <v>888</v>
      </c>
      <c r="BG2" s="107" t="s">
        <v>18</v>
      </c>
      <c r="BH2" s="107" t="s">
        <v>19</v>
      </c>
    </row>
    <row r="3" spans="1:60" ht="121.15" customHeight="1" x14ac:dyDescent="0.3">
      <c r="A3" s="57">
        <v>1</v>
      </c>
      <c r="B3" s="57" t="s">
        <v>44</v>
      </c>
      <c r="C3" s="57" t="s">
        <v>474</v>
      </c>
      <c r="D3" s="57" t="s">
        <v>475</v>
      </c>
      <c r="E3" s="57" t="s">
        <v>476</v>
      </c>
      <c r="F3" s="57" t="s">
        <v>110</v>
      </c>
      <c r="G3" s="57" t="s">
        <v>111</v>
      </c>
      <c r="H3" s="57" t="s">
        <v>112</v>
      </c>
      <c r="I3" s="57" t="s">
        <v>477</v>
      </c>
      <c r="J3" s="110">
        <v>3.4</v>
      </c>
      <c r="K3" s="57" t="s">
        <v>478</v>
      </c>
      <c r="L3" s="57" t="s">
        <v>479</v>
      </c>
      <c r="M3" s="57" t="s">
        <v>480</v>
      </c>
      <c r="N3" s="57" t="s">
        <v>117</v>
      </c>
      <c r="O3" s="57" t="s">
        <v>481</v>
      </c>
      <c r="P3" s="57" t="s">
        <v>239</v>
      </c>
      <c r="Q3" s="57" t="s">
        <v>120</v>
      </c>
      <c r="R3" s="57" t="s">
        <v>482</v>
      </c>
      <c r="S3" s="57" t="s">
        <v>483</v>
      </c>
      <c r="T3" s="57" t="s">
        <v>484</v>
      </c>
      <c r="U3" s="57" t="s">
        <v>485</v>
      </c>
      <c r="V3" s="57" t="s">
        <v>486</v>
      </c>
      <c r="W3" s="57" t="s">
        <v>487</v>
      </c>
      <c r="X3" s="111" t="s">
        <v>488</v>
      </c>
      <c r="Y3" s="57" t="s">
        <v>489</v>
      </c>
      <c r="Z3" s="57" t="s">
        <v>195</v>
      </c>
      <c r="AA3" s="57" t="s">
        <v>490</v>
      </c>
      <c r="AB3" s="57" t="s">
        <v>126</v>
      </c>
      <c r="AC3" s="57" t="s">
        <v>491</v>
      </c>
      <c r="AD3" s="57" t="s">
        <v>492</v>
      </c>
      <c r="AE3" s="57" t="s">
        <v>493</v>
      </c>
      <c r="AF3" s="57" t="s">
        <v>420</v>
      </c>
      <c r="AG3" s="57" t="s">
        <v>494</v>
      </c>
      <c r="AH3" s="57" t="s">
        <v>495</v>
      </c>
      <c r="AI3" s="57" t="s">
        <v>496</v>
      </c>
      <c r="AJ3" s="209" t="s">
        <v>497</v>
      </c>
      <c r="AK3" s="210"/>
      <c r="AL3" s="210"/>
      <c r="AM3" s="57" t="s">
        <v>7</v>
      </c>
      <c r="AN3" s="57" t="s">
        <v>7</v>
      </c>
      <c r="AO3" s="57" t="s">
        <v>7</v>
      </c>
      <c r="AP3" s="57" t="s">
        <v>498</v>
      </c>
      <c r="AQ3" s="57" t="s">
        <v>498</v>
      </c>
      <c r="AR3" s="57" t="s">
        <v>498</v>
      </c>
      <c r="AS3" s="57" t="s">
        <v>498</v>
      </c>
      <c r="AT3" s="57" t="s">
        <v>7</v>
      </c>
      <c r="AU3" s="57" t="s">
        <v>7</v>
      </c>
      <c r="AV3" s="57" t="s">
        <v>498</v>
      </c>
      <c r="AW3" s="57" t="s">
        <v>7</v>
      </c>
      <c r="AX3" s="57" t="s">
        <v>7</v>
      </c>
      <c r="AY3" s="57" t="s">
        <v>7</v>
      </c>
      <c r="AZ3" s="57" t="s">
        <v>7</v>
      </c>
      <c r="BA3" s="57" t="s">
        <v>938</v>
      </c>
      <c r="BB3" s="57" t="s">
        <v>939</v>
      </c>
      <c r="BC3" s="113" t="s">
        <v>940</v>
      </c>
      <c r="BD3" s="113" t="s">
        <v>941</v>
      </c>
      <c r="BE3" s="57" t="s">
        <v>7</v>
      </c>
      <c r="BF3" s="57" t="s">
        <v>7</v>
      </c>
      <c r="BG3" s="114" t="s">
        <v>942</v>
      </c>
      <c r="BH3" s="57" t="s">
        <v>7</v>
      </c>
    </row>
    <row r="4" spans="1:60" ht="118.15" customHeight="1" x14ac:dyDescent="0.3">
      <c r="A4" s="57">
        <v>2</v>
      </c>
      <c r="B4" s="57" t="s">
        <v>45</v>
      </c>
      <c r="C4" s="57" t="s">
        <v>474</v>
      </c>
      <c r="D4" s="57" t="s">
        <v>135</v>
      </c>
      <c r="E4" s="57" t="s">
        <v>136</v>
      </c>
      <c r="F4" s="57" t="s">
        <v>110</v>
      </c>
      <c r="G4" s="57" t="s">
        <v>499</v>
      </c>
      <c r="H4" s="57" t="s">
        <v>112</v>
      </c>
      <c r="I4" s="57" t="s">
        <v>500</v>
      </c>
      <c r="J4" s="110">
        <v>0.54</v>
      </c>
      <c r="K4" s="57" t="s">
        <v>501</v>
      </c>
      <c r="L4" s="57" t="s">
        <v>943</v>
      </c>
      <c r="M4" s="57" t="s">
        <v>503</v>
      </c>
      <c r="N4" s="57" t="s">
        <v>117</v>
      </c>
      <c r="O4" s="57" t="s">
        <v>187</v>
      </c>
      <c r="P4" s="57" t="s">
        <v>239</v>
      </c>
      <c r="Q4" s="57" t="s">
        <v>120</v>
      </c>
      <c r="R4" s="57" t="s">
        <v>504</v>
      </c>
      <c r="S4" s="57" t="s">
        <v>505</v>
      </c>
      <c r="T4" s="57" t="s">
        <v>506</v>
      </c>
      <c r="U4" s="57" t="s">
        <v>507</v>
      </c>
      <c r="V4" s="57" t="s">
        <v>508</v>
      </c>
      <c r="W4" s="57" t="s">
        <v>509</v>
      </c>
      <c r="X4" s="111" t="s">
        <v>400</v>
      </c>
      <c r="Y4" s="57" t="s">
        <v>325</v>
      </c>
      <c r="Z4" s="57" t="s">
        <v>195</v>
      </c>
      <c r="AA4" s="57" t="s">
        <v>510</v>
      </c>
      <c r="AB4" s="57" t="s">
        <v>511</v>
      </c>
      <c r="AC4" s="57" t="s">
        <v>512</v>
      </c>
      <c r="AD4" s="57" t="s">
        <v>7</v>
      </c>
      <c r="AE4" s="57" t="s">
        <v>216</v>
      </c>
      <c r="AF4" s="57" t="s">
        <v>513</v>
      </c>
      <c r="AG4" s="57" t="s">
        <v>514</v>
      </c>
      <c r="AH4" s="57" t="s">
        <v>515</v>
      </c>
      <c r="AI4" s="57" t="s">
        <v>516</v>
      </c>
      <c r="AJ4" s="213" t="s">
        <v>517</v>
      </c>
      <c r="AK4" s="214"/>
      <c r="AL4" s="214"/>
      <c r="AM4" s="57" t="s">
        <v>7</v>
      </c>
      <c r="AN4" s="57" t="s">
        <v>7</v>
      </c>
      <c r="AO4" s="57" t="s">
        <v>7</v>
      </c>
      <c r="AP4" s="57" t="s">
        <v>498</v>
      </c>
      <c r="AQ4" s="57" t="s">
        <v>7</v>
      </c>
      <c r="AR4" s="57" t="s">
        <v>7</v>
      </c>
      <c r="AS4" s="57" t="s">
        <v>498</v>
      </c>
      <c r="AT4" s="57" t="s">
        <v>7</v>
      </c>
      <c r="AU4" s="57" t="s">
        <v>7</v>
      </c>
      <c r="AV4" s="57" t="s">
        <v>498</v>
      </c>
      <c r="AW4" s="57" t="s">
        <v>7</v>
      </c>
      <c r="AX4" s="57" t="s">
        <v>7</v>
      </c>
      <c r="AY4" s="57" t="s">
        <v>7</v>
      </c>
      <c r="AZ4" s="57" t="s">
        <v>7</v>
      </c>
      <c r="BA4" s="113" t="s">
        <v>944</v>
      </c>
      <c r="BB4" s="57" t="s">
        <v>7</v>
      </c>
      <c r="BC4" s="57" t="s">
        <v>7</v>
      </c>
      <c r="BD4" s="113" t="s">
        <v>945</v>
      </c>
      <c r="BE4" s="57" t="s">
        <v>7</v>
      </c>
      <c r="BF4" s="57" t="s">
        <v>7</v>
      </c>
      <c r="BG4" s="113" t="s">
        <v>946</v>
      </c>
      <c r="BH4" s="57" t="s">
        <v>7</v>
      </c>
    </row>
    <row r="5" spans="1:60" ht="135.6" customHeight="1" x14ac:dyDescent="0.3">
      <c r="A5" s="57">
        <v>3</v>
      </c>
      <c r="B5" s="57" t="s">
        <v>46</v>
      </c>
      <c r="C5" s="57" t="s">
        <v>518</v>
      </c>
      <c r="D5" s="57" t="s">
        <v>135</v>
      </c>
      <c r="E5" s="57" t="s">
        <v>136</v>
      </c>
      <c r="F5" s="57" t="s">
        <v>182</v>
      </c>
      <c r="G5" s="57" t="s">
        <v>111</v>
      </c>
      <c r="H5" s="57" t="s">
        <v>112</v>
      </c>
      <c r="I5" s="57" t="s">
        <v>519</v>
      </c>
      <c r="J5" s="110">
        <v>3.9</v>
      </c>
      <c r="K5" s="57" t="s">
        <v>520</v>
      </c>
      <c r="L5" s="57" t="s">
        <v>521</v>
      </c>
      <c r="M5" s="57" t="s">
        <v>116</v>
      </c>
      <c r="N5" s="57" t="s">
        <v>117</v>
      </c>
      <c r="O5" s="57" t="s">
        <v>141</v>
      </c>
      <c r="P5" s="57" t="s">
        <v>522</v>
      </c>
      <c r="Q5" s="57" t="s">
        <v>523</v>
      </c>
      <c r="R5" s="57" t="s">
        <v>524</v>
      </c>
      <c r="S5" s="57" t="s">
        <v>525</v>
      </c>
      <c r="T5" s="57" t="s">
        <v>526</v>
      </c>
      <c r="U5" s="57" t="s">
        <v>7</v>
      </c>
      <c r="V5" s="57" t="s">
        <v>527</v>
      </c>
      <c r="W5" s="57" t="s">
        <v>528</v>
      </c>
      <c r="X5" s="111" t="s">
        <v>529</v>
      </c>
      <c r="Y5" s="57" t="s">
        <v>7</v>
      </c>
      <c r="Z5" s="57" t="s">
        <v>195</v>
      </c>
      <c r="AA5" s="57" t="s">
        <v>7</v>
      </c>
      <c r="AB5" s="57" t="s">
        <v>7</v>
      </c>
      <c r="AC5" s="57" t="s">
        <v>7</v>
      </c>
      <c r="AD5" s="57" t="s">
        <v>530</v>
      </c>
      <c r="AE5" s="57" t="s">
        <v>216</v>
      </c>
      <c r="AF5" s="102" t="s">
        <v>531</v>
      </c>
      <c r="AG5" s="57" t="s">
        <v>200</v>
      </c>
      <c r="AH5" s="57" t="s">
        <v>233</v>
      </c>
      <c r="AI5" s="57" t="s">
        <v>532</v>
      </c>
      <c r="AJ5" s="204" t="s">
        <v>533</v>
      </c>
      <c r="AK5" s="205"/>
      <c r="AL5" s="206"/>
      <c r="AM5" s="57" t="s">
        <v>7</v>
      </c>
      <c r="AN5" s="57" t="s">
        <v>7</v>
      </c>
      <c r="AO5" s="57" t="s">
        <v>7</v>
      </c>
      <c r="AP5" s="57" t="s">
        <v>498</v>
      </c>
      <c r="AQ5" s="57" t="s">
        <v>7</v>
      </c>
      <c r="AR5" s="57" t="s">
        <v>7</v>
      </c>
      <c r="AS5" s="57" t="s">
        <v>498</v>
      </c>
      <c r="AT5" s="57" t="s">
        <v>7</v>
      </c>
      <c r="AU5" s="57" t="s">
        <v>7</v>
      </c>
      <c r="AV5" s="57" t="s">
        <v>498</v>
      </c>
      <c r="AW5" s="57" t="s">
        <v>7</v>
      </c>
      <c r="AX5" s="57" t="s">
        <v>114</v>
      </c>
      <c r="AY5" s="57" t="s">
        <v>114</v>
      </c>
      <c r="AZ5" s="113" t="s">
        <v>7</v>
      </c>
      <c r="BA5" s="113" t="s">
        <v>947</v>
      </c>
      <c r="BB5" s="57" t="s">
        <v>7</v>
      </c>
      <c r="BC5" s="57" t="s">
        <v>7</v>
      </c>
      <c r="BD5" s="113" t="s">
        <v>948</v>
      </c>
      <c r="BE5" s="57"/>
      <c r="BF5" s="57"/>
      <c r="BG5" s="115" t="s">
        <v>949</v>
      </c>
      <c r="BH5" s="57" t="s">
        <v>7</v>
      </c>
    </row>
    <row r="6" spans="1:60" ht="167.45" customHeight="1" x14ac:dyDescent="0.3">
      <c r="A6" s="57">
        <v>4</v>
      </c>
      <c r="B6" s="57" t="s">
        <v>47</v>
      </c>
      <c r="C6" s="57" t="s">
        <v>518</v>
      </c>
      <c r="D6" s="57" t="s">
        <v>135</v>
      </c>
      <c r="E6" s="57" t="s">
        <v>136</v>
      </c>
      <c r="F6" s="57" t="s">
        <v>182</v>
      </c>
      <c r="G6" s="57" t="s">
        <v>111</v>
      </c>
      <c r="H6" s="57" t="s">
        <v>112</v>
      </c>
      <c r="I6" s="57" t="s">
        <v>534</v>
      </c>
      <c r="J6" s="110">
        <v>1.3</v>
      </c>
      <c r="K6" s="57" t="s">
        <v>535</v>
      </c>
      <c r="L6" s="57" t="s">
        <v>536</v>
      </c>
      <c r="M6" s="57" t="s">
        <v>537</v>
      </c>
      <c r="N6" s="57" t="s">
        <v>117</v>
      </c>
      <c r="O6" s="57" t="s">
        <v>187</v>
      </c>
      <c r="P6" s="57" t="s">
        <v>210</v>
      </c>
      <c r="Q6" s="57" t="s">
        <v>523</v>
      </c>
      <c r="R6" s="57" t="s">
        <v>538</v>
      </c>
      <c r="S6" s="57" t="s">
        <v>539</v>
      </c>
      <c r="T6" s="57" t="s">
        <v>540</v>
      </c>
      <c r="U6" s="57" t="s">
        <v>541</v>
      </c>
      <c r="V6" s="57" t="s">
        <v>542</v>
      </c>
      <c r="W6" s="57" t="s">
        <v>415</v>
      </c>
      <c r="X6" s="111" t="s">
        <v>543</v>
      </c>
      <c r="Y6" s="57" t="s">
        <v>544</v>
      </c>
      <c r="Z6" s="57" t="s">
        <v>195</v>
      </c>
      <c r="AA6" s="57" t="s">
        <v>545</v>
      </c>
      <c r="AB6" s="57" t="s">
        <v>511</v>
      </c>
      <c r="AC6" s="57" t="s">
        <v>546</v>
      </c>
      <c r="AD6" s="57" t="s">
        <v>547</v>
      </c>
      <c r="AE6" s="57" t="s">
        <v>216</v>
      </c>
      <c r="AF6" s="102" t="s">
        <v>531</v>
      </c>
      <c r="AG6" s="57" t="s">
        <v>548</v>
      </c>
      <c r="AH6" s="57" t="s">
        <v>549</v>
      </c>
      <c r="AI6" s="57" t="s">
        <v>550</v>
      </c>
      <c r="AJ6" s="200" t="s">
        <v>950</v>
      </c>
      <c r="AK6" s="201"/>
      <c r="AL6" s="202"/>
      <c r="AM6" s="57" t="s">
        <v>498</v>
      </c>
      <c r="AN6" s="57" t="s">
        <v>7</v>
      </c>
      <c r="AO6" s="57" t="s">
        <v>7</v>
      </c>
      <c r="AP6" s="57" t="s">
        <v>498</v>
      </c>
      <c r="AQ6" s="57" t="s">
        <v>498</v>
      </c>
      <c r="AR6" s="57" t="s">
        <v>7</v>
      </c>
      <c r="AS6" s="57" t="s">
        <v>498</v>
      </c>
      <c r="AT6" s="57" t="s">
        <v>7</v>
      </c>
      <c r="AU6" s="57" t="s">
        <v>7</v>
      </c>
      <c r="AV6" s="57" t="s">
        <v>498</v>
      </c>
      <c r="AW6" s="57" t="s">
        <v>7</v>
      </c>
      <c r="AX6" s="113" t="s">
        <v>951</v>
      </c>
      <c r="AY6" s="57" t="s">
        <v>7</v>
      </c>
      <c r="AZ6" s="113" t="s">
        <v>7</v>
      </c>
      <c r="BA6" s="113" t="s">
        <v>952</v>
      </c>
      <c r="BB6" s="113" t="s">
        <v>953</v>
      </c>
      <c r="BC6" s="57" t="s">
        <v>7</v>
      </c>
      <c r="BD6" s="112" t="s">
        <v>954</v>
      </c>
      <c r="BE6" s="57" t="s">
        <v>7</v>
      </c>
      <c r="BF6" s="57" t="s">
        <v>7</v>
      </c>
      <c r="BG6" s="113" t="s">
        <v>955</v>
      </c>
      <c r="BH6" s="57" t="s">
        <v>7</v>
      </c>
    </row>
    <row r="7" spans="1:60" ht="113.45" customHeight="1" x14ac:dyDescent="0.3">
      <c r="A7" s="57">
        <v>5</v>
      </c>
      <c r="B7" s="57" t="s">
        <v>49</v>
      </c>
      <c r="C7" s="57" t="s">
        <v>568</v>
      </c>
      <c r="D7" s="57" t="s">
        <v>180</v>
      </c>
      <c r="E7" s="57" t="s">
        <v>136</v>
      </c>
      <c r="F7" s="57" t="s">
        <v>182</v>
      </c>
      <c r="G7" s="57" t="s">
        <v>569</v>
      </c>
      <c r="H7" s="57" t="s">
        <v>112</v>
      </c>
      <c r="I7" s="57" t="s">
        <v>570</v>
      </c>
      <c r="J7" s="110">
        <v>4.5</v>
      </c>
      <c r="K7" s="57" t="s">
        <v>571</v>
      </c>
      <c r="L7" s="57" t="s">
        <v>572</v>
      </c>
      <c r="M7" s="57" t="s">
        <v>537</v>
      </c>
      <c r="N7" s="57" t="s">
        <v>117</v>
      </c>
      <c r="O7" s="57" t="s">
        <v>573</v>
      </c>
      <c r="P7" s="57" t="s">
        <v>319</v>
      </c>
      <c r="Q7" s="57" t="s">
        <v>120</v>
      </c>
      <c r="R7" s="57" t="s">
        <v>574</v>
      </c>
      <c r="S7" s="57" t="s">
        <v>575</v>
      </c>
      <c r="T7" s="57" t="s">
        <v>576</v>
      </c>
      <c r="U7" s="57" t="s">
        <v>577</v>
      </c>
      <c r="V7" s="57" t="s">
        <v>578</v>
      </c>
      <c r="W7" s="57" t="s">
        <v>579</v>
      </c>
      <c r="X7" s="57" t="s">
        <v>580</v>
      </c>
      <c r="Y7" s="57" t="s">
        <v>581</v>
      </c>
      <c r="Z7" s="57" t="s">
        <v>560</v>
      </c>
      <c r="AA7" s="57" t="s">
        <v>582</v>
      </c>
      <c r="AB7" s="57" t="s">
        <v>326</v>
      </c>
      <c r="AC7" s="57" t="s">
        <v>583</v>
      </c>
      <c r="AD7" s="57" t="s">
        <v>584</v>
      </c>
      <c r="AE7" s="57" t="s">
        <v>198</v>
      </c>
      <c r="AF7" s="57" t="s">
        <v>585</v>
      </c>
      <c r="AG7" s="57" t="s">
        <v>586</v>
      </c>
      <c r="AH7" s="57" t="s">
        <v>587</v>
      </c>
      <c r="AI7" s="57" t="s">
        <v>588</v>
      </c>
      <c r="AJ7" s="213" t="s">
        <v>589</v>
      </c>
      <c r="AK7" s="214"/>
      <c r="AL7" s="214"/>
      <c r="AM7" s="57" t="s">
        <v>498</v>
      </c>
      <c r="AN7" s="57" t="s">
        <v>7</v>
      </c>
      <c r="AO7" s="57" t="s">
        <v>7</v>
      </c>
      <c r="AP7" s="57" t="s">
        <v>498</v>
      </c>
      <c r="AQ7" s="57" t="s">
        <v>498</v>
      </c>
      <c r="AR7" s="57" t="s">
        <v>7</v>
      </c>
      <c r="AS7" s="57" t="s">
        <v>7</v>
      </c>
      <c r="AT7" s="57" t="s">
        <v>7</v>
      </c>
      <c r="AU7" s="57" t="s">
        <v>7</v>
      </c>
      <c r="AV7" s="57" t="s">
        <v>7</v>
      </c>
      <c r="AW7" s="57" t="s">
        <v>7</v>
      </c>
      <c r="AX7" s="113" t="s">
        <v>956</v>
      </c>
      <c r="AY7" s="57" t="s">
        <v>7</v>
      </c>
      <c r="AZ7" s="113" t="s">
        <v>7</v>
      </c>
      <c r="BA7" s="57" t="s">
        <v>957</v>
      </c>
      <c r="BB7" s="113" t="s">
        <v>958</v>
      </c>
      <c r="BC7" s="57" t="s">
        <v>7</v>
      </c>
      <c r="BD7" s="57" t="s">
        <v>7</v>
      </c>
      <c r="BE7" s="57" t="s">
        <v>7</v>
      </c>
      <c r="BF7" s="57" t="s">
        <v>7</v>
      </c>
      <c r="BG7" s="57" t="s">
        <v>7</v>
      </c>
      <c r="BH7" s="57" t="s">
        <v>7</v>
      </c>
    </row>
    <row r="8" spans="1:60" ht="111.6" customHeight="1" x14ac:dyDescent="0.3">
      <c r="A8" s="57">
        <v>6</v>
      </c>
      <c r="B8" s="57" t="s">
        <v>51</v>
      </c>
      <c r="C8" s="57" t="s">
        <v>601</v>
      </c>
      <c r="D8" s="57" t="s">
        <v>180</v>
      </c>
      <c r="E8" s="57" t="s">
        <v>591</v>
      </c>
      <c r="F8" s="57" t="s">
        <v>182</v>
      </c>
      <c r="G8" s="57" t="s">
        <v>111</v>
      </c>
      <c r="H8" s="57" t="s">
        <v>112</v>
      </c>
      <c r="I8" s="57" t="s">
        <v>602</v>
      </c>
      <c r="J8" s="110">
        <v>3.88</v>
      </c>
      <c r="K8" s="57" t="s">
        <v>603</v>
      </c>
      <c r="L8" s="57" t="s">
        <v>604</v>
      </c>
      <c r="M8" s="57" t="s">
        <v>537</v>
      </c>
      <c r="N8" s="57" t="s">
        <v>117</v>
      </c>
      <c r="O8" s="57" t="s">
        <v>7</v>
      </c>
      <c r="P8" s="57" t="s">
        <v>319</v>
      </c>
      <c r="Q8" s="57" t="s">
        <v>120</v>
      </c>
      <c r="R8" s="57" t="s">
        <v>606</v>
      </c>
      <c r="S8" s="57" t="s">
        <v>607</v>
      </c>
      <c r="T8" s="57" t="s">
        <v>608</v>
      </c>
      <c r="U8" s="57" t="s">
        <v>609</v>
      </c>
      <c r="V8" s="57" t="s">
        <v>610</v>
      </c>
      <c r="W8" s="57" t="s">
        <v>611</v>
      </c>
      <c r="X8" s="57" t="s">
        <v>149</v>
      </c>
      <c r="Y8" s="57" t="s">
        <v>286</v>
      </c>
      <c r="Z8" s="57" t="s">
        <v>612</v>
      </c>
      <c r="AA8" s="57" t="s">
        <v>613</v>
      </c>
      <c r="AB8" s="57" t="s">
        <v>126</v>
      </c>
      <c r="AC8" s="57" t="s">
        <v>614</v>
      </c>
      <c r="AD8" s="57" t="s">
        <v>615</v>
      </c>
      <c r="AE8" s="57" t="s">
        <v>616</v>
      </c>
      <c r="AF8" s="57" t="s">
        <v>617</v>
      </c>
      <c r="AG8" s="57" t="s">
        <v>200</v>
      </c>
      <c r="AH8" s="57" t="s">
        <v>618</v>
      </c>
      <c r="AI8" s="57" t="s">
        <v>619</v>
      </c>
      <c r="AJ8" s="200" t="s">
        <v>620</v>
      </c>
      <c r="AK8" s="201"/>
      <c r="AL8" s="202"/>
      <c r="AM8" s="57" t="s">
        <v>7</v>
      </c>
      <c r="AN8" s="57" t="s">
        <v>7</v>
      </c>
      <c r="AO8" s="57" t="s">
        <v>7</v>
      </c>
      <c r="AP8" s="57" t="s">
        <v>959</v>
      </c>
      <c r="AQ8" s="57" t="s">
        <v>11</v>
      </c>
      <c r="AR8" s="57" t="s">
        <v>7</v>
      </c>
      <c r="AS8" s="57" t="s">
        <v>7</v>
      </c>
      <c r="AT8" s="57" t="s">
        <v>7</v>
      </c>
      <c r="AU8" s="57" t="s">
        <v>7</v>
      </c>
      <c r="AV8" s="57" t="s">
        <v>498</v>
      </c>
      <c r="AW8" s="57" t="s">
        <v>7</v>
      </c>
      <c r="AX8" s="57" t="s">
        <v>7</v>
      </c>
      <c r="AY8" s="57" t="s">
        <v>7</v>
      </c>
      <c r="AZ8" s="57" t="s">
        <v>7</v>
      </c>
      <c r="BA8" s="114" t="s">
        <v>960</v>
      </c>
      <c r="BB8" s="57" t="s">
        <v>961</v>
      </c>
      <c r="BC8" s="57" t="s">
        <v>7</v>
      </c>
      <c r="BD8" s="57" t="s">
        <v>7</v>
      </c>
      <c r="BE8" s="57" t="s">
        <v>7</v>
      </c>
      <c r="BF8" s="57" t="s">
        <v>7</v>
      </c>
      <c r="BG8" s="57" t="s">
        <v>962</v>
      </c>
      <c r="BH8" s="57" t="s">
        <v>7</v>
      </c>
    </row>
    <row r="9" spans="1:60" ht="135" customHeight="1" x14ac:dyDescent="0.3">
      <c r="A9" s="57">
        <v>7</v>
      </c>
      <c r="B9" s="57" t="s">
        <v>52</v>
      </c>
      <c r="C9" s="57" t="s">
        <v>601</v>
      </c>
      <c r="D9" s="57" t="s">
        <v>180</v>
      </c>
      <c r="E9" s="57" t="s">
        <v>591</v>
      </c>
      <c r="F9" s="57" t="s">
        <v>182</v>
      </c>
      <c r="G9" s="57" t="s">
        <v>111</v>
      </c>
      <c r="H9" s="57" t="s">
        <v>112</v>
      </c>
      <c r="I9" s="57" t="s">
        <v>621</v>
      </c>
      <c r="J9" s="110">
        <v>2.16</v>
      </c>
      <c r="K9" s="57" t="s">
        <v>603</v>
      </c>
      <c r="L9" s="57" t="s">
        <v>622</v>
      </c>
      <c r="M9" s="57" t="s">
        <v>116</v>
      </c>
      <c r="N9" s="57" t="s">
        <v>117</v>
      </c>
      <c r="O9" s="57" t="s">
        <v>359</v>
      </c>
      <c r="P9" s="57" t="s">
        <v>119</v>
      </c>
      <c r="Q9" s="57" t="s">
        <v>120</v>
      </c>
      <c r="R9" s="57" t="s">
        <v>623</v>
      </c>
      <c r="S9" s="57" t="s">
        <v>624</v>
      </c>
      <c r="T9" s="57" t="s">
        <v>625</v>
      </c>
      <c r="U9" s="57" t="s">
        <v>7</v>
      </c>
      <c r="V9" s="57" t="s">
        <v>7</v>
      </c>
      <c r="W9" s="57" t="s">
        <v>626</v>
      </c>
      <c r="X9" s="57" t="s">
        <v>149</v>
      </c>
      <c r="Y9" s="57" t="s">
        <v>627</v>
      </c>
      <c r="Z9" s="57" t="s">
        <v>560</v>
      </c>
      <c r="AA9" s="57" t="s">
        <v>7</v>
      </c>
      <c r="AB9" s="57" t="s">
        <v>174</v>
      </c>
      <c r="AC9" s="116" t="s">
        <v>628</v>
      </c>
      <c r="AD9" s="57" t="s">
        <v>629</v>
      </c>
      <c r="AE9" s="57" t="s">
        <v>198</v>
      </c>
      <c r="AF9" s="57" t="s">
        <v>199</v>
      </c>
      <c r="AG9" s="57" t="s">
        <v>200</v>
      </c>
      <c r="AH9" s="57" t="s">
        <v>630</v>
      </c>
      <c r="AI9" s="57" t="s">
        <v>631</v>
      </c>
      <c r="AJ9" s="204" t="s">
        <v>632</v>
      </c>
      <c r="AK9" s="205"/>
      <c r="AL9" s="206"/>
      <c r="AM9" s="57" t="s">
        <v>7</v>
      </c>
      <c r="AN9" s="57" t="s">
        <v>7</v>
      </c>
      <c r="AO9" s="57" t="s">
        <v>7</v>
      </c>
      <c r="AP9" s="57" t="s">
        <v>498</v>
      </c>
      <c r="AQ9" s="57" t="s">
        <v>633</v>
      </c>
      <c r="AR9" s="57" t="s">
        <v>7</v>
      </c>
      <c r="AS9" s="57" t="s">
        <v>498</v>
      </c>
      <c r="AT9" s="57" t="s">
        <v>7</v>
      </c>
      <c r="AU9" s="57" t="s">
        <v>7</v>
      </c>
      <c r="AV9" s="57" t="s">
        <v>633</v>
      </c>
      <c r="AW9" s="57" t="s">
        <v>7</v>
      </c>
      <c r="AX9" s="57" t="s">
        <v>7</v>
      </c>
      <c r="AY9" s="57" t="s">
        <v>7</v>
      </c>
      <c r="AZ9" s="57" t="s">
        <v>7</v>
      </c>
      <c r="BA9" s="114" t="s">
        <v>960</v>
      </c>
      <c r="BB9" s="112" t="s">
        <v>963</v>
      </c>
      <c r="BC9" s="57" t="s">
        <v>7</v>
      </c>
      <c r="BD9" s="112" t="s">
        <v>964</v>
      </c>
      <c r="BE9" s="57" t="s">
        <v>7</v>
      </c>
      <c r="BF9" s="57" t="s">
        <v>7</v>
      </c>
      <c r="BG9" s="112" t="s">
        <v>963</v>
      </c>
      <c r="BH9" s="57" t="s">
        <v>7</v>
      </c>
    </row>
    <row r="10" spans="1:60" ht="111" customHeight="1" x14ac:dyDescent="0.3">
      <c r="A10" s="57">
        <v>8</v>
      </c>
      <c r="B10" s="57" t="s">
        <v>20</v>
      </c>
      <c r="C10" s="57" t="s">
        <v>134</v>
      </c>
      <c r="D10" s="57" t="s">
        <v>135</v>
      </c>
      <c r="E10" s="57" t="s">
        <v>136</v>
      </c>
      <c r="F10" s="57" t="s">
        <v>137</v>
      </c>
      <c r="G10" s="57" t="s">
        <v>111</v>
      </c>
      <c r="H10" s="57" t="s">
        <v>112</v>
      </c>
      <c r="I10" s="57" t="s">
        <v>138</v>
      </c>
      <c r="J10" s="110">
        <v>4</v>
      </c>
      <c r="K10" s="57" t="s">
        <v>139</v>
      </c>
      <c r="L10" s="57" t="s">
        <v>140</v>
      </c>
      <c r="M10" s="57" t="s">
        <v>116</v>
      </c>
      <c r="N10" s="57" t="s">
        <v>117</v>
      </c>
      <c r="O10" s="57" t="s">
        <v>141</v>
      </c>
      <c r="P10" s="57" t="s">
        <v>142</v>
      </c>
      <c r="Q10" s="57" t="s">
        <v>120</v>
      </c>
      <c r="R10" s="57" t="s">
        <v>143</v>
      </c>
      <c r="S10" s="57" t="s">
        <v>144</v>
      </c>
      <c r="T10" s="57" t="s">
        <v>145</v>
      </c>
      <c r="U10" s="57" t="s">
        <v>146</v>
      </c>
      <c r="V10" s="57" t="s">
        <v>147</v>
      </c>
      <c r="W10" s="57" t="s">
        <v>148</v>
      </c>
      <c r="X10" s="57" t="s">
        <v>149</v>
      </c>
      <c r="Y10" s="57" t="s">
        <v>150</v>
      </c>
      <c r="Z10" s="57" t="s">
        <v>151</v>
      </c>
      <c r="AA10" s="57" t="s">
        <v>152</v>
      </c>
      <c r="AB10" s="57" t="s">
        <v>153</v>
      </c>
      <c r="AC10" s="57" t="s">
        <v>154</v>
      </c>
      <c r="AD10" s="57" t="s">
        <v>155</v>
      </c>
      <c r="AE10" s="57" t="s">
        <v>7</v>
      </c>
      <c r="AF10" s="57" t="s">
        <v>7</v>
      </c>
      <c r="AG10" s="57" t="s">
        <v>156</v>
      </c>
      <c r="AH10" s="57" t="s">
        <v>157</v>
      </c>
      <c r="AI10" s="57" t="s">
        <v>158</v>
      </c>
      <c r="AJ10" s="200" t="s">
        <v>159</v>
      </c>
      <c r="AK10" s="201"/>
      <c r="AL10" s="202"/>
      <c r="AM10" s="57" t="s">
        <v>7</v>
      </c>
      <c r="AN10" s="57" t="s">
        <v>7</v>
      </c>
      <c r="AO10" s="57" t="s">
        <v>7</v>
      </c>
      <c r="AP10" s="57" t="s">
        <v>11</v>
      </c>
      <c r="AQ10" s="57" t="s">
        <v>7</v>
      </c>
      <c r="AR10" s="57" t="s">
        <v>7</v>
      </c>
      <c r="AS10" s="57" t="s">
        <v>7</v>
      </c>
      <c r="AT10" s="57" t="s">
        <v>7</v>
      </c>
      <c r="AU10" s="57" t="s">
        <v>7</v>
      </c>
      <c r="AV10" s="57" t="s">
        <v>7</v>
      </c>
      <c r="AW10" s="57" t="s">
        <v>7</v>
      </c>
      <c r="AX10" s="57" t="s">
        <v>7</v>
      </c>
      <c r="AY10" s="57" t="s">
        <v>7</v>
      </c>
      <c r="AZ10" s="57" t="s">
        <v>7</v>
      </c>
      <c r="BA10" s="113" t="s">
        <v>965</v>
      </c>
      <c r="BB10" s="57" t="s">
        <v>7</v>
      </c>
      <c r="BC10" s="57" t="s">
        <v>7</v>
      </c>
      <c r="BD10" s="57" t="s">
        <v>7</v>
      </c>
      <c r="BE10" s="57" t="s">
        <v>7</v>
      </c>
      <c r="BF10" s="57" t="s">
        <v>7</v>
      </c>
      <c r="BG10" s="57" t="s">
        <v>7</v>
      </c>
      <c r="BH10" s="57" t="s">
        <v>7</v>
      </c>
    </row>
    <row r="11" spans="1:60" ht="115.15" customHeight="1" x14ac:dyDescent="0.3">
      <c r="A11" s="57">
        <v>9</v>
      </c>
      <c r="B11" s="57" t="s">
        <v>22</v>
      </c>
      <c r="C11" s="117" t="s">
        <v>160</v>
      </c>
      <c r="D11" s="118" t="s">
        <v>7</v>
      </c>
      <c r="E11" s="57" t="s">
        <v>161</v>
      </c>
      <c r="F11" s="57" t="s">
        <v>162</v>
      </c>
      <c r="G11" s="57" t="s">
        <v>163</v>
      </c>
      <c r="H11" s="57" t="s">
        <v>164</v>
      </c>
      <c r="I11" s="57" t="s">
        <v>165</v>
      </c>
      <c r="J11" s="110">
        <v>0.15</v>
      </c>
      <c r="K11" s="57" t="s">
        <v>166</v>
      </c>
      <c r="L11" s="57" t="s">
        <v>167</v>
      </c>
      <c r="M11" s="57" t="s">
        <v>168</v>
      </c>
      <c r="N11" s="57" t="s">
        <v>169</v>
      </c>
      <c r="O11" s="57" t="s">
        <v>170</v>
      </c>
      <c r="P11" s="57" t="s">
        <v>171</v>
      </c>
      <c r="Q11" s="57" t="s">
        <v>156</v>
      </c>
      <c r="R11" s="57" t="s">
        <v>172</v>
      </c>
      <c r="S11" s="57" t="s">
        <v>167</v>
      </c>
      <c r="T11" s="57" t="s">
        <v>173</v>
      </c>
      <c r="U11" s="57" t="s">
        <v>7</v>
      </c>
      <c r="V11" s="57" t="s">
        <v>7</v>
      </c>
      <c r="W11" s="57" t="s">
        <v>7</v>
      </c>
      <c r="X11" s="57" t="s">
        <v>7</v>
      </c>
      <c r="Y11" s="57" t="s">
        <v>7</v>
      </c>
      <c r="Z11" s="57" t="s">
        <v>7</v>
      </c>
      <c r="AA11" s="57" t="s">
        <v>7</v>
      </c>
      <c r="AB11" s="57" t="s">
        <v>174</v>
      </c>
      <c r="AC11" s="57" t="s">
        <v>7</v>
      </c>
      <c r="AD11" s="57" t="s">
        <v>175</v>
      </c>
      <c r="AE11" s="57" t="s">
        <v>7</v>
      </c>
      <c r="AF11" s="57" t="s">
        <v>7</v>
      </c>
      <c r="AG11" s="57" t="s">
        <v>176</v>
      </c>
      <c r="AH11" s="57" t="s">
        <v>177</v>
      </c>
      <c r="AI11" s="57" t="s">
        <v>7</v>
      </c>
      <c r="AJ11" s="200" t="s">
        <v>178</v>
      </c>
      <c r="AK11" s="201"/>
      <c r="AL11" s="202"/>
      <c r="AM11" s="57" t="s">
        <v>7</v>
      </c>
      <c r="AN11" s="57" t="s">
        <v>7</v>
      </c>
      <c r="AO11" s="57" t="s">
        <v>7</v>
      </c>
      <c r="AP11" s="57" t="s">
        <v>11</v>
      </c>
      <c r="AQ11" s="57" t="s">
        <v>7</v>
      </c>
      <c r="AR11" s="57" t="s">
        <v>7</v>
      </c>
      <c r="AS11" s="57" t="s">
        <v>7</v>
      </c>
      <c r="AT11" s="57" t="s">
        <v>7</v>
      </c>
      <c r="AU11" s="57" t="s">
        <v>7</v>
      </c>
      <c r="AV11" s="57" t="s">
        <v>7</v>
      </c>
      <c r="AW11" s="57" t="s">
        <v>7</v>
      </c>
      <c r="AX11" s="57" t="s">
        <v>7</v>
      </c>
      <c r="AY11" s="57" t="s">
        <v>7</v>
      </c>
      <c r="AZ11" s="57" t="s">
        <v>7</v>
      </c>
      <c r="BA11" s="40" t="s">
        <v>178</v>
      </c>
      <c r="BB11" s="57" t="s">
        <v>7</v>
      </c>
      <c r="BC11" s="57" t="s">
        <v>7</v>
      </c>
      <c r="BD11" s="57" t="s">
        <v>7</v>
      </c>
      <c r="BE11" s="57" t="s">
        <v>7</v>
      </c>
      <c r="BF11" s="57" t="s">
        <v>7</v>
      </c>
      <c r="BG11" s="57" t="s">
        <v>7</v>
      </c>
      <c r="BH11" s="57" t="s">
        <v>7</v>
      </c>
    </row>
    <row r="12" spans="1:60" ht="160.9" customHeight="1" x14ac:dyDescent="0.3">
      <c r="A12" s="57">
        <v>10</v>
      </c>
      <c r="B12" s="57" t="s">
        <v>54</v>
      </c>
      <c r="C12" s="57" t="s">
        <v>634</v>
      </c>
      <c r="D12" s="57" t="s">
        <v>258</v>
      </c>
      <c r="E12" s="57" t="s">
        <v>109</v>
      </c>
      <c r="F12" s="57" t="s">
        <v>552</v>
      </c>
      <c r="G12" s="57" t="s">
        <v>235</v>
      </c>
      <c r="H12" s="57" t="s">
        <v>112</v>
      </c>
      <c r="I12" s="57" t="s">
        <v>635</v>
      </c>
      <c r="J12" s="110">
        <v>1.9</v>
      </c>
      <c r="K12" s="57" t="s">
        <v>636</v>
      </c>
      <c r="L12" s="57" t="s">
        <v>637</v>
      </c>
      <c r="M12" s="57" t="s">
        <v>537</v>
      </c>
      <c r="N12" s="57" t="s">
        <v>117</v>
      </c>
      <c r="O12" s="57" t="s">
        <v>141</v>
      </c>
      <c r="P12" s="57" t="s">
        <v>280</v>
      </c>
      <c r="Q12" s="57" t="s">
        <v>120</v>
      </c>
      <c r="R12" s="57" t="s">
        <v>638</v>
      </c>
      <c r="S12" s="57" t="s">
        <v>639</v>
      </c>
      <c r="T12" s="57" t="s">
        <v>640</v>
      </c>
      <c r="U12" s="57" t="s">
        <v>641</v>
      </c>
      <c r="V12" s="57"/>
      <c r="W12" s="57" t="s">
        <v>642</v>
      </c>
      <c r="X12" s="57" t="s">
        <v>643</v>
      </c>
      <c r="Y12" s="57" t="s">
        <v>286</v>
      </c>
      <c r="Z12" s="57" t="s">
        <v>268</v>
      </c>
      <c r="AA12" s="57" t="s">
        <v>7</v>
      </c>
      <c r="AB12" s="57" t="s">
        <v>7</v>
      </c>
      <c r="AC12" s="57" t="s">
        <v>7</v>
      </c>
      <c r="AD12" s="57" t="s">
        <v>644</v>
      </c>
      <c r="AE12" s="119" t="s">
        <v>269</v>
      </c>
      <c r="AF12" s="57" t="s">
        <v>270</v>
      </c>
      <c r="AG12" s="57" t="s">
        <v>645</v>
      </c>
      <c r="AH12" s="57" t="s">
        <v>255</v>
      </c>
      <c r="AI12" s="57" t="s">
        <v>646</v>
      </c>
      <c r="AJ12" s="204" t="s">
        <v>647</v>
      </c>
      <c r="AK12" s="205"/>
      <c r="AL12" s="206"/>
      <c r="AM12" s="57" t="s">
        <v>498</v>
      </c>
      <c r="AN12" s="57" t="s">
        <v>7</v>
      </c>
      <c r="AO12" s="57" t="s">
        <v>7</v>
      </c>
      <c r="AP12" s="57" t="s">
        <v>498</v>
      </c>
      <c r="AQ12" s="57" t="s">
        <v>7</v>
      </c>
      <c r="AR12" s="57" t="s">
        <v>7</v>
      </c>
      <c r="AS12" s="57" t="s">
        <v>7</v>
      </c>
      <c r="AT12" s="57" t="s">
        <v>7</v>
      </c>
      <c r="AU12" s="57" t="s">
        <v>7</v>
      </c>
      <c r="AV12" s="57" t="s">
        <v>7</v>
      </c>
      <c r="AW12" s="57" t="s">
        <v>7</v>
      </c>
      <c r="AX12" s="57" t="s">
        <v>966</v>
      </c>
      <c r="AY12" s="57" t="s">
        <v>7</v>
      </c>
      <c r="AZ12" s="57" t="s">
        <v>7</v>
      </c>
      <c r="BA12" s="113" t="s">
        <v>967</v>
      </c>
      <c r="BB12" s="57" t="s">
        <v>7</v>
      </c>
      <c r="BC12" s="57" t="s">
        <v>7</v>
      </c>
      <c r="BD12" s="57" t="s">
        <v>7</v>
      </c>
      <c r="BE12" s="57" t="s">
        <v>7</v>
      </c>
      <c r="BF12" s="57" t="s">
        <v>7</v>
      </c>
      <c r="BG12" s="57" t="s">
        <v>7</v>
      </c>
      <c r="BH12" s="57" t="s">
        <v>7</v>
      </c>
    </row>
    <row r="13" spans="1:60" ht="106.9" customHeight="1" x14ac:dyDescent="0.3">
      <c r="A13" s="57">
        <v>11</v>
      </c>
      <c r="B13" s="57" t="s">
        <v>662</v>
      </c>
      <c r="C13" s="57" t="s">
        <v>634</v>
      </c>
      <c r="D13" s="57" t="s">
        <v>135</v>
      </c>
      <c r="E13" s="57" t="s">
        <v>136</v>
      </c>
      <c r="F13" s="57" t="s">
        <v>552</v>
      </c>
      <c r="G13" s="57" t="s">
        <v>111</v>
      </c>
      <c r="H13" s="57" t="s">
        <v>112</v>
      </c>
      <c r="I13" s="57" t="s">
        <v>663</v>
      </c>
      <c r="J13" s="110">
        <v>4</v>
      </c>
      <c r="K13" s="57" t="s">
        <v>664</v>
      </c>
      <c r="L13" s="57" t="s">
        <v>665</v>
      </c>
      <c r="M13" s="57" t="s">
        <v>537</v>
      </c>
      <c r="N13" s="57" t="s">
        <v>117</v>
      </c>
      <c r="O13" s="57" t="s">
        <v>666</v>
      </c>
      <c r="P13" s="57" t="s">
        <v>667</v>
      </c>
      <c r="Q13" s="57" t="s">
        <v>120</v>
      </c>
      <c r="R13" s="57" t="s">
        <v>595</v>
      </c>
      <c r="S13" s="57" t="s">
        <v>668</v>
      </c>
      <c r="T13" s="57" t="s">
        <v>669</v>
      </c>
      <c r="U13" s="57" t="s">
        <v>670</v>
      </c>
      <c r="V13" s="57" t="s">
        <v>7</v>
      </c>
      <c r="W13" s="57" t="s">
        <v>671</v>
      </c>
      <c r="X13" s="57" t="s">
        <v>672</v>
      </c>
      <c r="Y13" s="57"/>
      <c r="Z13" s="57" t="s">
        <v>268</v>
      </c>
      <c r="AA13" s="57" t="s">
        <v>673</v>
      </c>
      <c r="AB13" s="57" t="s">
        <v>674</v>
      </c>
      <c r="AC13" s="57" t="s">
        <v>7</v>
      </c>
      <c r="AD13" s="57" t="s">
        <v>675</v>
      </c>
      <c r="AE13" s="119" t="s">
        <v>269</v>
      </c>
      <c r="AF13" s="57" t="s">
        <v>270</v>
      </c>
      <c r="AG13" s="57" t="s">
        <v>645</v>
      </c>
      <c r="AH13" s="57" t="s">
        <v>676</v>
      </c>
      <c r="AI13" s="110">
        <v>100000</v>
      </c>
      <c r="AJ13" s="215" t="s">
        <v>968</v>
      </c>
      <c r="AK13" s="216"/>
      <c r="AL13" s="217"/>
      <c r="AM13" s="57" t="s">
        <v>498</v>
      </c>
      <c r="AN13" s="57" t="s">
        <v>7</v>
      </c>
      <c r="AO13" s="57" t="s">
        <v>7</v>
      </c>
      <c r="AP13" s="57" t="s">
        <v>498</v>
      </c>
      <c r="AQ13" s="57" t="s">
        <v>7</v>
      </c>
      <c r="AR13" s="57" t="s">
        <v>7</v>
      </c>
      <c r="AS13" s="57" t="s">
        <v>7</v>
      </c>
      <c r="AT13" s="57" t="s">
        <v>7</v>
      </c>
      <c r="AU13" s="57" t="s">
        <v>7</v>
      </c>
      <c r="AV13" s="57" t="s">
        <v>7</v>
      </c>
      <c r="AW13" s="57" t="s">
        <v>7</v>
      </c>
      <c r="AX13" s="113" t="s">
        <v>969</v>
      </c>
      <c r="AY13" s="57" t="s">
        <v>7</v>
      </c>
      <c r="AZ13" s="57" t="s">
        <v>7</v>
      </c>
      <c r="BA13" s="57" t="s">
        <v>970</v>
      </c>
      <c r="BB13" s="57" t="s">
        <v>7</v>
      </c>
      <c r="BC13" s="57" t="s">
        <v>7</v>
      </c>
      <c r="BD13" s="57" t="s">
        <v>7</v>
      </c>
      <c r="BE13" s="57" t="s">
        <v>7</v>
      </c>
      <c r="BF13" s="57" t="s">
        <v>7</v>
      </c>
      <c r="BG13" s="57" t="s">
        <v>7</v>
      </c>
      <c r="BH13" s="57" t="s">
        <v>7</v>
      </c>
    </row>
    <row r="14" spans="1:60" ht="91.9" customHeight="1" x14ac:dyDescent="0.3">
      <c r="A14" s="57">
        <v>12</v>
      </c>
      <c r="B14" s="57" t="s">
        <v>48</v>
      </c>
      <c r="C14" s="57" t="s">
        <v>551</v>
      </c>
      <c r="D14" s="57" t="s">
        <v>135</v>
      </c>
      <c r="E14" s="57" t="s">
        <v>136</v>
      </c>
      <c r="F14" s="57" t="s">
        <v>552</v>
      </c>
      <c r="G14" s="57" t="s">
        <v>111</v>
      </c>
      <c r="H14" s="57" t="s">
        <v>112</v>
      </c>
      <c r="I14" s="57" t="s">
        <v>553</v>
      </c>
      <c r="J14" s="110">
        <v>10.43</v>
      </c>
      <c r="K14" s="57" t="s">
        <v>554</v>
      </c>
      <c r="L14" s="57" t="s">
        <v>555</v>
      </c>
      <c r="M14" s="57" t="s">
        <v>116</v>
      </c>
      <c r="N14" s="57" t="s">
        <v>225</v>
      </c>
      <c r="O14" s="57" t="s">
        <v>481</v>
      </c>
      <c r="P14" s="57" t="s">
        <v>556</v>
      </c>
      <c r="Q14" s="57" t="s">
        <v>120</v>
      </c>
      <c r="R14" s="57" t="s">
        <v>557</v>
      </c>
      <c r="S14" s="57" t="s">
        <v>558</v>
      </c>
      <c r="T14" s="57" t="s">
        <v>559</v>
      </c>
      <c r="U14" s="57" t="s">
        <v>284</v>
      </c>
      <c r="V14" s="57" t="s">
        <v>285</v>
      </c>
      <c r="W14" s="57" t="s">
        <v>415</v>
      </c>
      <c r="X14" s="57" t="s">
        <v>149</v>
      </c>
      <c r="Y14" s="57" t="s">
        <v>194</v>
      </c>
      <c r="Z14" s="57" t="s">
        <v>560</v>
      </c>
      <c r="AA14" s="57" t="s">
        <v>561</v>
      </c>
      <c r="AB14" s="57" t="s">
        <v>562</v>
      </c>
      <c r="AC14" s="57" t="s">
        <v>563</v>
      </c>
      <c r="AD14" s="57" t="s">
        <v>564</v>
      </c>
      <c r="AE14" s="57" t="s">
        <v>448</v>
      </c>
      <c r="AF14" s="57" t="s">
        <v>420</v>
      </c>
      <c r="AG14" s="57" t="s">
        <v>565</v>
      </c>
      <c r="AH14" s="57" t="s">
        <v>450</v>
      </c>
      <c r="AI14" s="57" t="s">
        <v>566</v>
      </c>
      <c r="AJ14" s="218" t="s">
        <v>567</v>
      </c>
      <c r="AK14" s="219"/>
      <c r="AL14" s="220"/>
      <c r="AM14" s="57" t="s">
        <v>7</v>
      </c>
      <c r="AN14" s="57" t="s">
        <v>7</v>
      </c>
      <c r="AO14" s="57" t="s">
        <v>7</v>
      </c>
      <c r="AP14" s="57" t="s">
        <v>7</v>
      </c>
      <c r="AQ14" s="57" t="s">
        <v>7</v>
      </c>
      <c r="AR14" s="57" t="s">
        <v>7</v>
      </c>
      <c r="AS14" s="57" t="s">
        <v>7</v>
      </c>
      <c r="AT14" s="57" t="s">
        <v>7</v>
      </c>
      <c r="AU14" s="57" t="s">
        <v>7</v>
      </c>
      <c r="AV14" s="57" t="s">
        <v>498</v>
      </c>
      <c r="AW14" s="57" t="s">
        <v>7</v>
      </c>
      <c r="AX14" s="57" t="s">
        <v>7</v>
      </c>
      <c r="AY14" s="57" t="s">
        <v>7</v>
      </c>
      <c r="AZ14" s="57" t="s">
        <v>7</v>
      </c>
      <c r="BA14" s="57" t="s">
        <v>7</v>
      </c>
      <c r="BB14" s="57" t="s">
        <v>7</v>
      </c>
      <c r="BC14" s="57" t="s">
        <v>7</v>
      </c>
      <c r="BD14" s="57" t="s">
        <v>7</v>
      </c>
      <c r="BE14" s="57" t="s">
        <v>7</v>
      </c>
      <c r="BF14" s="57" t="s">
        <v>7</v>
      </c>
      <c r="BG14" s="113" t="s">
        <v>971</v>
      </c>
      <c r="BH14" s="57" t="s">
        <v>7</v>
      </c>
    </row>
    <row r="15" spans="1:60" ht="132" customHeight="1" x14ac:dyDescent="0.3">
      <c r="A15" s="57">
        <v>13</v>
      </c>
      <c r="B15" s="57" t="s">
        <v>57</v>
      </c>
      <c r="C15" s="57" t="s">
        <v>677</v>
      </c>
      <c r="D15" s="57" t="s">
        <v>135</v>
      </c>
      <c r="E15" s="57" t="s">
        <v>136</v>
      </c>
      <c r="F15" s="57" t="s">
        <v>137</v>
      </c>
      <c r="G15" s="57" t="s">
        <v>111</v>
      </c>
      <c r="H15" s="57" t="s">
        <v>112</v>
      </c>
      <c r="I15" s="57" t="s">
        <v>678</v>
      </c>
      <c r="J15" s="110">
        <v>3.8</v>
      </c>
      <c r="K15" s="57" t="s">
        <v>603</v>
      </c>
      <c r="L15" s="57" t="s">
        <v>679</v>
      </c>
      <c r="M15" s="57" t="s">
        <v>116</v>
      </c>
      <c r="N15" s="57" t="s">
        <v>117</v>
      </c>
      <c r="O15" s="57" t="s">
        <v>680</v>
      </c>
      <c r="P15" s="57" t="s">
        <v>681</v>
      </c>
      <c r="Q15" s="57" t="s">
        <v>120</v>
      </c>
      <c r="R15" s="57" t="s">
        <v>682</v>
      </c>
      <c r="S15" s="57" t="s">
        <v>683</v>
      </c>
      <c r="T15" s="57" t="s">
        <v>684</v>
      </c>
      <c r="U15" s="57" t="s">
        <v>284</v>
      </c>
      <c r="V15" s="57" t="s">
        <v>685</v>
      </c>
      <c r="W15" s="57" t="s">
        <v>415</v>
      </c>
      <c r="X15" s="57" t="s">
        <v>686</v>
      </c>
      <c r="Y15" s="57" t="s">
        <v>286</v>
      </c>
      <c r="Z15" s="57" t="s">
        <v>195</v>
      </c>
      <c r="AA15" s="57" t="s">
        <v>687</v>
      </c>
      <c r="AB15" s="57" t="s">
        <v>126</v>
      </c>
      <c r="AC15" s="57" t="s">
        <v>688</v>
      </c>
      <c r="AD15" s="57" t="s">
        <v>689</v>
      </c>
      <c r="AE15" s="57" t="s">
        <v>690</v>
      </c>
      <c r="AF15" s="57" t="s">
        <v>199</v>
      </c>
      <c r="AG15" s="57" t="s">
        <v>691</v>
      </c>
      <c r="AH15" s="57" t="s">
        <v>255</v>
      </c>
      <c r="AI15" s="57" t="s">
        <v>692</v>
      </c>
      <c r="AJ15" s="200" t="s">
        <v>693</v>
      </c>
      <c r="AK15" s="201"/>
      <c r="AL15" s="202"/>
      <c r="AM15" s="57" t="s">
        <v>7</v>
      </c>
      <c r="AN15" s="57" t="s">
        <v>7</v>
      </c>
      <c r="AO15" s="57" t="s">
        <v>7</v>
      </c>
      <c r="AP15" s="57" t="s">
        <v>498</v>
      </c>
      <c r="AQ15" s="57" t="s">
        <v>7</v>
      </c>
      <c r="AR15" s="57" t="s">
        <v>7</v>
      </c>
      <c r="AS15" s="57" t="s">
        <v>7</v>
      </c>
      <c r="AT15" s="57" t="s">
        <v>7</v>
      </c>
      <c r="AU15" s="57" t="s">
        <v>7</v>
      </c>
      <c r="AV15" s="57" t="s">
        <v>972</v>
      </c>
      <c r="AW15" s="57" t="s">
        <v>7</v>
      </c>
      <c r="AX15" s="57" t="s">
        <v>7</v>
      </c>
      <c r="AY15" s="57" t="s">
        <v>7</v>
      </c>
      <c r="AZ15" s="57" t="s">
        <v>7</v>
      </c>
      <c r="BA15" s="57" t="s">
        <v>973</v>
      </c>
      <c r="BB15" s="57" t="s">
        <v>7</v>
      </c>
      <c r="BC15" s="57" t="s">
        <v>7</v>
      </c>
      <c r="BD15" s="57" t="s">
        <v>7</v>
      </c>
      <c r="BE15" s="57" t="s">
        <v>7</v>
      </c>
      <c r="BF15" s="57" t="s">
        <v>7</v>
      </c>
      <c r="BG15" s="112" t="s">
        <v>974</v>
      </c>
      <c r="BH15" s="57" t="s">
        <v>7</v>
      </c>
    </row>
    <row r="16" spans="1:60" ht="126" customHeight="1" x14ac:dyDescent="0.3">
      <c r="A16" s="57">
        <v>14</v>
      </c>
      <c r="B16" s="57" t="s">
        <v>50</v>
      </c>
      <c r="C16" s="57" t="s">
        <v>590</v>
      </c>
      <c r="D16" s="57" t="s">
        <v>180</v>
      </c>
      <c r="E16" s="57" t="s">
        <v>591</v>
      </c>
      <c r="F16" s="57" t="s">
        <v>110</v>
      </c>
      <c r="G16" s="57" t="s">
        <v>111</v>
      </c>
      <c r="H16" s="57" t="s">
        <v>112</v>
      </c>
      <c r="I16" s="120" t="s">
        <v>592</v>
      </c>
      <c r="J16" s="110">
        <v>5</v>
      </c>
      <c r="K16" s="57" t="s">
        <v>593</v>
      </c>
      <c r="L16" s="57" t="s">
        <v>594</v>
      </c>
      <c r="M16" s="57" t="s">
        <v>116</v>
      </c>
      <c r="N16" s="57" t="s">
        <v>117</v>
      </c>
      <c r="O16" s="57" t="s">
        <v>481</v>
      </c>
      <c r="P16" s="57" t="s">
        <v>239</v>
      </c>
      <c r="Q16" s="57" t="s">
        <v>120</v>
      </c>
      <c r="R16" s="57" t="s">
        <v>595</v>
      </c>
      <c r="S16" s="57" t="s">
        <v>425</v>
      </c>
      <c r="T16" s="57" t="s">
        <v>596</v>
      </c>
      <c r="U16" s="57" t="s">
        <v>7</v>
      </c>
      <c r="V16" s="57" t="s">
        <v>7</v>
      </c>
      <c r="W16" s="57" t="s">
        <v>169</v>
      </c>
      <c r="X16" s="57" t="s">
        <v>7</v>
      </c>
      <c r="Y16" s="57" t="s">
        <v>7</v>
      </c>
      <c r="Z16" s="57" t="s">
        <v>195</v>
      </c>
      <c r="AA16" s="102" t="s">
        <v>975</v>
      </c>
      <c r="AB16" s="57" t="s">
        <v>126</v>
      </c>
      <c r="AC16" s="102" t="s">
        <v>976</v>
      </c>
      <c r="AD16" s="57" t="s">
        <v>127</v>
      </c>
      <c r="AE16" s="57" t="s">
        <v>198</v>
      </c>
      <c r="AF16" s="57" t="s">
        <v>599</v>
      </c>
      <c r="AG16" s="57" t="s">
        <v>200</v>
      </c>
      <c r="AH16" s="57" t="s">
        <v>131</v>
      </c>
      <c r="AI16" s="57" t="s">
        <v>600</v>
      </c>
      <c r="AJ16" s="211" t="s">
        <v>365</v>
      </c>
      <c r="AK16" s="212"/>
      <c r="AL16" s="212"/>
      <c r="AM16" s="57" t="s">
        <v>7</v>
      </c>
      <c r="AN16" s="57" t="s">
        <v>7</v>
      </c>
      <c r="AO16" s="57" t="s">
        <v>7</v>
      </c>
      <c r="AP16" s="57" t="s">
        <v>7</v>
      </c>
      <c r="AQ16" s="57" t="s">
        <v>7</v>
      </c>
      <c r="AR16" s="57" t="s">
        <v>7</v>
      </c>
      <c r="AS16" s="57" t="s">
        <v>7</v>
      </c>
      <c r="AT16" s="57" t="s">
        <v>7</v>
      </c>
      <c r="AU16" s="57" t="s">
        <v>7</v>
      </c>
      <c r="AV16" s="57" t="s">
        <v>498</v>
      </c>
      <c r="AW16" s="57" t="s">
        <v>7</v>
      </c>
      <c r="AX16" s="57" t="s">
        <v>7</v>
      </c>
      <c r="AY16" s="57" t="s">
        <v>7</v>
      </c>
      <c r="AZ16" s="57" t="s">
        <v>7</v>
      </c>
      <c r="BA16" s="57" t="s">
        <v>7</v>
      </c>
      <c r="BB16" s="57" t="s">
        <v>7</v>
      </c>
      <c r="BC16" s="57" t="s">
        <v>7</v>
      </c>
      <c r="BD16" s="57" t="s">
        <v>7</v>
      </c>
      <c r="BE16" s="57" t="s">
        <v>7</v>
      </c>
      <c r="BF16" s="57" t="s">
        <v>7</v>
      </c>
      <c r="BG16" s="113" t="s">
        <v>977</v>
      </c>
      <c r="BH16" s="57" t="s">
        <v>7</v>
      </c>
    </row>
    <row r="17" spans="1:60" ht="132.6" customHeight="1" x14ac:dyDescent="0.3">
      <c r="A17" s="57">
        <v>15</v>
      </c>
      <c r="B17" s="57" t="s">
        <v>23</v>
      </c>
      <c r="C17" s="120" t="s">
        <v>179</v>
      </c>
      <c r="D17" s="57" t="s">
        <v>180</v>
      </c>
      <c r="E17" s="57" t="s">
        <v>181</v>
      </c>
      <c r="F17" s="57" t="s">
        <v>182</v>
      </c>
      <c r="G17" s="57" t="s">
        <v>183</v>
      </c>
      <c r="H17" s="57" t="s">
        <v>112</v>
      </c>
      <c r="I17" s="120" t="s">
        <v>184</v>
      </c>
      <c r="J17" s="110">
        <v>0.45</v>
      </c>
      <c r="K17" s="121" t="s">
        <v>185</v>
      </c>
      <c r="L17" s="57" t="s">
        <v>186</v>
      </c>
      <c r="M17" s="57" t="s">
        <v>116</v>
      </c>
      <c r="N17" s="57" t="s">
        <v>117</v>
      </c>
      <c r="O17" s="57" t="s">
        <v>187</v>
      </c>
      <c r="P17" s="57" t="s">
        <v>188</v>
      </c>
      <c r="Q17" s="57" t="s">
        <v>120</v>
      </c>
      <c r="R17" s="57" t="s">
        <v>189</v>
      </c>
      <c r="S17" s="57" t="s">
        <v>190</v>
      </c>
      <c r="T17" s="57" t="s">
        <v>191</v>
      </c>
      <c r="U17" s="57" t="s">
        <v>7</v>
      </c>
      <c r="V17" s="57" t="s">
        <v>7</v>
      </c>
      <c r="W17" s="57" t="s">
        <v>192</v>
      </c>
      <c r="X17" s="57" t="s">
        <v>193</v>
      </c>
      <c r="Y17" s="57" t="s">
        <v>194</v>
      </c>
      <c r="Z17" s="57" t="s">
        <v>195</v>
      </c>
      <c r="AA17" s="57" t="s">
        <v>7</v>
      </c>
      <c r="AB17" s="57" t="s">
        <v>196</v>
      </c>
      <c r="AC17" s="57" t="s">
        <v>7</v>
      </c>
      <c r="AD17" s="57" t="s">
        <v>197</v>
      </c>
      <c r="AE17" s="57" t="s">
        <v>198</v>
      </c>
      <c r="AF17" s="57" t="s">
        <v>199</v>
      </c>
      <c r="AG17" s="57" t="s">
        <v>200</v>
      </c>
      <c r="AH17" s="57" t="s">
        <v>201</v>
      </c>
      <c r="AI17" s="57" t="s">
        <v>202</v>
      </c>
      <c r="AJ17" s="204" t="s">
        <v>203</v>
      </c>
      <c r="AK17" s="205"/>
      <c r="AL17" s="206"/>
      <c r="AM17" s="57" t="s">
        <v>7</v>
      </c>
      <c r="AN17" s="57" t="s">
        <v>7</v>
      </c>
      <c r="AO17" s="57" t="s">
        <v>7</v>
      </c>
      <c r="AP17" s="57" t="s">
        <v>11</v>
      </c>
      <c r="AQ17" s="57" t="s">
        <v>959</v>
      </c>
      <c r="AR17" s="57" t="s">
        <v>7</v>
      </c>
      <c r="AS17" s="57" t="s">
        <v>7</v>
      </c>
      <c r="AT17" s="57" t="s">
        <v>7</v>
      </c>
      <c r="AU17" s="57" t="s">
        <v>7</v>
      </c>
      <c r="AV17" s="57" t="s">
        <v>7</v>
      </c>
      <c r="AW17" s="57" t="s">
        <v>7</v>
      </c>
      <c r="AX17" s="57" t="s">
        <v>7</v>
      </c>
      <c r="AY17" s="57" t="s">
        <v>7</v>
      </c>
      <c r="AZ17" s="57" t="s">
        <v>7</v>
      </c>
      <c r="BA17" s="57" t="s">
        <v>978</v>
      </c>
      <c r="BB17" s="57" t="s">
        <v>979</v>
      </c>
      <c r="BC17" s="57" t="s">
        <v>7</v>
      </c>
      <c r="BD17" s="57" t="s">
        <v>7</v>
      </c>
      <c r="BE17" s="57" t="s">
        <v>7</v>
      </c>
      <c r="BF17" s="57" t="s">
        <v>7</v>
      </c>
      <c r="BG17" s="57" t="s">
        <v>7</v>
      </c>
      <c r="BH17" s="57" t="s">
        <v>7</v>
      </c>
    </row>
    <row r="18" spans="1:60" ht="133.15" customHeight="1" x14ac:dyDescent="0.3">
      <c r="A18" s="57">
        <v>16</v>
      </c>
      <c r="B18" s="57" t="s">
        <v>58</v>
      </c>
      <c r="C18" s="57" t="s">
        <v>694</v>
      </c>
      <c r="D18" s="57" t="s">
        <v>135</v>
      </c>
      <c r="E18" s="57" t="s">
        <v>136</v>
      </c>
      <c r="F18" s="57" t="s">
        <v>110</v>
      </c>
      <c r="G18" s="57" t="s">
        <v>111</v>
      </c>
      <c r="H18" s="57" t="s">
        <v>112</v>
      </c>
      <c r="I18" s="57" t="s">
        <v>695</v>
      </c>
      <c r="J18" s="110" t="s">
        <v>696</v>
      </c>
      <c r="K18" s="57" t="s">
        <v>697</v>
      </c>
      <c r="L18" s="57" t="s">
        <v>698</v>
      </c>
      <c r="M18" s="57" t="s">
        <v>537</v>
      </c>
      <c r="N18" s="57" t="s">
        <v>117</v>
      </c>
      <c r="O18" s="57" t="s">
        <v>187</v>
      </c>
      <c r="P18" s="57" t="s">
        <v>699</v>
      </c>
      <c r="Q18" s="57" t="s">
        <v>120</v>
      </c>
      <c r="R18" s="57" t="s">
        <v>700</v>
      </c>
      <c r="S18" s="57" t="s">
        <v>701</v>
      </c>
      <c r="T18" s="57" t="s">
        <v>702</v>
      </c>
      <c r="U18" s="57" t="s">
        <v>7</v>
      </c>
      <c r="V18" s="57" t="s">
        <v>7</v>
      </c>
      <c r="W18" s="57" t="s">
        <v>169</v>
      </c>
      <c r="X18" s="57" t="s">
        <v>703</v>
      </c>
      <c r="Y18" s="57" t="s">
        <v>7</v>
      </c>
      <c r="Z18" s="57" t="s">
        <v>195</v>
      </c>
      <c r="AA18" s="57" t="s">
        <v>7</v>
      </c>
      <c r="AB18" s="57" t="s">
        <v>7</v>
      </c>
      <c r="AC18" s="57" t="s">
        <v>7</v>
      </c>
      <c r="AD18" s="57" t="s">
        <v>704</v>
      </c>
      <c r="AE18" s="57" t="s">
        <v>7</v>
      </c>
      <c r="AF18" s="57" t="s">
        <v>7</v>
      </c>
      <c r="AG18" s="57" t="s">
        <v>705</v>
      </c>
      <c r="AH18" s="57" t="s">
        <v>706</v>
      </c>
      <c r="AI18" s="57" t="s">
        <v>707</v>
      </c>
      <c r="AJ18" s="200" t="s">
        <v>708</v>
      </c>
      <c r="AK18" s="201"/>
      <c r="AL18" s="202"/>
      <c r="AM18" s="57" t="s">
        <v>7</v>
      </c>
      <c r="AN18" s="57" t="s">
        <v>7</v>
      </c>
      <c r="AO18" s="57" t="s">
        <v>7</v>
      </c>
      <c r="AP18" s="57" t="s">
        <v>498</v>
      </c>
      <c r="AQ18" s="57" t="s">
        <v>498</v>
      </c>
      <c r="AR18" s="57" t="s">
        <v>7</v>
      </c>
      <c r="AS18" s="57" t="s">
        <v>7</v>
      </c>
      <c r="AT18" s="57" t="s">
        <v>7</v>
      </c>
      <c r="AU18" s="57" t="s">
        <v>7</v>
      </c>
      <c r="AV18" s="57" t="s">
        <v>7</v>
      </c>
      <c r="AW18" s="57" t="s">
        <v>7</v>
      </c>
      <c r="AX18" s="57" t="s">
        <v>7</v>
      </c>
      <c r="AY18" s="57" t="s">
        <v>7</v>
      </c>
      <c r="AZ18" s="57" t="s">
        <v>7</v>
      </c>
      <c r="BA18" s="113" t="s">
        <v>980</v>
      </c>
      <c r="BB18" s="114" t="s">
        <v>981</v>
      </c>
      <c r="BC18" s="57" t="s">
        <v>7</v>
      </c>
      <c r="BD18" s="57" t="s">
        <v>7</v>
      </c>
      <c r="BE18" s="57" t="s">
        <v>7</v>
      </c>
      <c r="BF18" s="57" t="s">
        <v>7</v>
      </c>
      <c r="BG18" s="57" t="s">
        <v>7</v>
      </c>
      <c r="BH18" s="57" t="s">
        <v>7</v>
      </c>
    </row>
    <row r="19" spans="1:60" ht="112.9" customHeight="1" x14ac:dyDescent="0.3">
      <c r="A19" s="57">
        <v>17</v>
      </c>
      <c r="B19" s="57" t="s">
        <v>24</v>
      </c>
      <c r="C19" s="57" t="s">
        <v>204</v>
      </c>
      <c r="D19" s="57" t="s">
        <v>135</v>
      </c>
      <c r="E19" s="57" t="s">
        <v>136</v>
      </c>
      <c r="F19" s="57" t="s">
        <v>205</v>
      </c>
      <c r="G19" s="57" t="s">
        <v>111</v>
      </c>
      <c r="H19" s="57" t="s">
        <v>112</v>
      </c>
      <c r="I19" s="57" t="s">
        <v>206</v>
      </c>
      <c r="J19" s="110">
        <v>1.2</v>
      </c>
      <c r="K19" s="57" t="s">
        <v>207</v>
      </c>
      <c r="L19" s="57" t="s">
        <v>208</v>
      </c>
      <c r="M19" s="57" t="s">
        <v>116</v>
      </c>
      <c r="N19" s="57" t="s">
        <v>209</v>
      </c>
      <c r="O19" s="57" t="s">
        <v>187</v>
      </c>
      <c r="P19" s="57" t="s">
        <v>210</v>
      </c>
      <c r="Q19" s="57" t="s">
        <v>120</v>
      </c>
      <c r="R19" s="57" t="s">
        <v>211</v>
      </c>
      <c r="S19" s="57" t="s">
        <v>212</v>
      </c>
      <c r="T19" s="57" t="s">
        <v>213</v>
      </c>
      <c r="U19" s="57" t="s">
        <v>214</v>
      </c>
      <c r="V19" s="57" t="s">
        <v>7</v>
      </c>
      <c r="W19" s="57" t="s">
        <v>7</v>
      </c>
      <c r="X19" s="57" t="s">
        <v>7</v>
      </c>
      <c r="Y19" s="57" t="s">
        <v>7</v>
      </c>
      <c r="Z19" s="57" t="s">
        <v>195</v>
      </c>
      <c r="AA19" s="57" t="s">
        <v>7</v>
      </c>
      <c r="AB19" s="57" t="s">
        <v>7</v>
      </c>
      <c r="AC19" s="57" t="s">
        <v>7</v>
      </c>
      <c r="AD19" s="57" t="s">
        <v>215</v>
      </c>
      <c r="AE19" s="57" t="s">
        <v>216</v>
      </c>
      <c r="AF19" s="57" t="s">
        <v>217</v>
      </c>
      <c r="AG19" s="57" t="s">
        <v>218</v>
      </c>
      <c r="AH19" s="57" t="s">
        <v>201</v>
      </c>
      <c r="AI19" s="57" t="s">
        <v>7</v>
      </c>
      <c r="AJ19" s="204" t="s">
        <v>219</v>
      </c>
      <c r="AK19" s="205"/>
      <c r="AL19" s="206"/>
      <c r="AM19" s="57" t="s">
        <v>7</v>
      </c>
      <c r="AN19" s="57" t="s">
        <v>7</v>
      </c>
      <c r="AO19" s="57" t="s">
        <v>7</v>
      </c>
      <c r="AP19" s="57" t="s">
        <v>11</v>
      </c>
      <c r="AQ19" s="57" t="s">
        <v>7</v>
      </c>
      <c r="AR19" s="57" t="s">
        <v>7</v>
      </c>
      <c r="AS19" s="57" t="s">
        <v>7</v>
      </c>
      <c r="AT19" s="57" t="s">
        <v>7</v>
      </c>
      <c r="AU19" s="57" t="s">
        <v>7</v>
      </c>
      <c r="AV19" s="57" t="s">
        <v>7</v>
      </c>
      <c r="AW19" s="57" t="s">
        <v>7</v>
      </c>
      <c r="AX19" s="57" t="s">
        <v>7</v>
      </c>
      <c r="AY19" s="57" t="s">
        <v>7</v>
      </c>
      <c r="AZ19" s="57" t="s">
        <v>7</v>
      </c>
      <c r="BA19" s="57" t="s">
        <v>982</v>
      </c>
      <c r="BB19" s="57" t="s">
        <v>7</v>
      </c>
      <c r="BC19" s="57" t="s">
        <v>7</v>
      </c>
      <c r="BD19" s="57" t="s">
        <v>7</v>
      </c>
      <c r="BE19" s="57" t="s">
        <v>7</v>
      </c>
      <c r="BF19" s="57" t="s">
        <v>7</v>
      </c>
      <c r="BG19" s="57" t="s">
        <v>7</v>
      </c>
      <c r="BH19" s="57" t="s">
        <v>7</v>
      </c>
    </row>
    <row r="20" spans="1:60" ht="118.9" customHeight="1" x14ac:dyDescent="0.3">
      <c r="A20" s="57">
        <v>18</v>
      </c>
      <c r="B20" s="57" t="s">
        <v>55</v>
      </c>
      <c r="C20" s="57" t="s">
        <v>648</v>
      </c>
      <c r="D20" s="57" t="s">
        <v>296</v>
      </c>
      <c r="E20" s="57" t="s">
        <v>649</v>
      </c>
      <c r="F20" s="57" t="s">
        <v>205</v>
      </c>
      <c r="G20" s="57" t="s">
        <v>366</v>
      </c>
      <c r="H20" s="57" t="s">
        <v>164</v>
      </c>
      <c r="I20" s="57" t="s">
        <v>650</v>
      </c>
      <c r="J20" s="110" t="s">
        <v>651</v>
      </c>
      <c r="K20" s="57" t="s">
        <v>652</v>
      </c>
      <c r="L20" s="57" t="s">
        <v>653</v>
      </c>
      <c r="M20" s="57" t="s">
        <v>116</v>
      </c>
      <c r="N20" s="57" t="s">
        <v>209</v>
      </c>
      <c r="O20" s="57" t="s">
        <v>118</v>
      </c>
      <c r="P20" s="57" t="s">
        <v>654</v>
      </c>
      <c r="Q20" s="57" t="s">
        <v>120</v>
      </c>
      <c r="R20" s="57" t="s">
        <v>655</v>
      </c>
      <c r="S20" s="57" t="s">
        <v>656</v>
      </c>
      <c r="T20" s="57" t="s">
        <v>657</v>
      </c>
      <c r="U20" s="57" t="s">
        <v>7</v>
      </c>
      <c r="V20" s="57" t="s">
        <v>7</v>
      </c>
      <c r="W20" s="57" t="s">
        <v>7</v>
      </c>
      <c r="X20" s="57" t="s">
        <v>7</v>
      </c>
      <c r="Y20" s="57" t="s">
        <v>7</v>
      </c>
      <c r="Z20" s="57" t="s">
        <v>7</v>
      </c>
      <c r="AA20" s="57" t="s">
        <v>7</v>
      </c>
      <c r="AB20" s="57" t="s">
        <v>7</v>
      </c>
      <c r="AC20" s="57" t="s">
        <v>7</v>
      </c>
      <c r="AD20" s="57" t="s">
        <v>658</v>
      </c>
      <c r="AE20" s="57" t="s">
        <v>659</v>
      </c>
      <c r="AF20" s="57" t="s">
        <v>129</v>
      </c>
      <c r="AG20" s="57" t="s">
        <v>660</v>
      </c>
      <c r="AH20" s="57" t="s">
        <v>7</v>
      </c>
      <c r="AI20" s="57" t="s">
        <v>7</v>
      </c>
      <c r="AJ20" s="204" t="s">
        <v>661</v>
      </c>
      <c r="AK20" s="205"/>
      <c r="AL20" s="206"/>
      <c r="AM20" s="57" t="s">
        <v>498</v>
      </c>
      <c r="AN20" s="57" t="s">
        <v>7</v>
      </c>
      <c r="AO20" s="57" t="s">
        <v>7</v>
      </c>
      <c r="AP20" s="57" t="s">
        <v>7</v>
      </c>
      <c r="AQ20" s="57" t="s">
        <v>7</v>
      </c>
      <c r="AR20" s="57" t="s">
        <v>7</v>
      </c>
      <c r="AS20" s="57" t="s">
        <v>7</v>
      </c>
      <c r="AT20" s="57" t="s">
        <v>7</v>
      </c>
      <c r="AU20" s="57" t="s">
        <v>7</v>
      </c>
      <c r="AV20" s="57" t="s">
        <v>7</v>
      </c>
      <c r="AW20" s="57" t="s">
        <v>7</v>
      </c>
      <c r="AX20" s="57" t="s">
        <v>983</v>
      </c>
      <c r="AY20" s="57" t="s">
        <v>7</v>
      </c>
      <c r="AZ20" s="57" t="s">
        <v>7</v>
      </c>
      <c r="BA20" s="57" t="s">
        <v>7</v>
      </c>
      <c r="BB20" s="57" t="s">
        <v>7</v>
      </c>
      <c r="BC20" s="57" t="s">
        <v>7</v>
      </c>
      <c r="BD20" s="57" t="s">
        <v>7</v>
      </c>
      <c r="BE20" s="57" t="s">
        <v>7</v>
      </c>
      <c r="BF20" s="57" t="s">
        <v>7</v>
      </c>
      <c r="BG20" s="57" t="s">
        <v>7</v>
      </c>
      <c r="BH20" s="57" t="s">
        <v>7</v>
      </c>
    </row>
    <row r="21" spans="1:60" ht="121.9" customHeight="1" x14ac:dyDescent="0.3">
      <c r="A21" s="57">
        <v>19</v>
      </c>
      <c r="B21" s="57" t="s">
        <v>59</v>
      </c>
      <c r="C21" s="57" t="s">
        <v>709</v>
      </c>
      <c r="D21" s="57" t="s">
        <v>296</v>
      </c>
      <c r="E21" s="57" t="s">
        <v>710</v>
      </c>
      <c r="F21" s="57" t="s">
        <v>205</v>
      </c>
      <c r="G21" s="57" t="s">
        <v>235</v>
      </c>
      <c r="H21" s="57" t="s">
        <v>112</v>
      </c>
      <c r="I21" s="57" t="s">
        <v>711</v>
      </c>
      <c r="J21" s="110">
        <v>2.7</v>
      </c>
      <c r="K21" s="57" t="s">
        <v>712</v>
      </c>
      <c r="L21" s="57" t="s">
        <v>713</v>
      </c>
      <c r="M21" s="57" t="s">
        <v>116</v>
      </c>
      <c r="N21" s="57" t="s">
        <v>714</v>
      </c>
      <c r="O21" s="57" t="s">
        <v>7</v>
      </c>
      <c r="P21" s="57" t="s">
        <v>715</v>
      </c>
      <c r="Q21" s="57" t="s">
        <v>120</v>
      </c>
      <c r="R21" s="57" t="s">
        <v>716</v>
      </c>
      <c r="S21" s="57" t="s">
        <v>717</v>
      </c>
      <c r="T21" s="57" t="s">
        <v>718</v>
      </c>
      <c r="U21" s="57" t="s">
        <v>7</v>
      </c>
      <c r="V21" s="57" t="s">
        <v>7</v>
      </c>
      <c r="W21" s="57" t="s">
        <v>7</v>
      </c>
      <c r="X21" s="57" t="s">
        <v>400</v>
      </c>
      <c r="Y21" s="57" t="s">
        <v>325</v>
      </c>
      <c r="Z21" s="57" t="s">
        <v>719</v>
      </c>
      <c r="AA21" s="57" t="s">
        <v>7</v>
      </c>
      <c r="AB21" s="57" t="s">
        <v>720</v>
      </c>
      <c r="AC21" s="57" t="s">
        <v>7</v>
      </c>
      <c r="AD21" s="57" t="s">
        <v>721</v>
      </c>
      <c r="AE21" s="57" t="s">
        <v>659</v>
      </c>
      <c r="AF21" s="57" t="s">
        <v>449</v>
      </c>
      <c r="AG21" s="57" t="s">
        <v>722</v>
      </c>
      <c r="AH21" s="57" t="s">
        <v>723</v>
      </c>
      <c r="AI21" s="57" t="s">
        <v>724</v>
      </c>
      <c r="AJ21" s="204" t="s">
        <v>725</v>
      </c>
      <c r="AK21" s="205"/>
      <c r="AL21" s="206"/>
      <c r="AM21" s="57" t="s">
        <v>498</v>
      </c>
      <c r="AN21" s="57" t="s">
        <v>7</v>
      </c>
      <c r="AO21" s="57" t="s">
        <v>7</v>
      </c>
      <c r="AP21" s="57" t="s">
        <v>498</v>
      </c>
      <c r="AQ21" s="57" t="s">
        <v>498</v>
      </c>
      <c r="AR21" s="57" t="s">
        <v>7</v>
      </c>
      <c r="AS21" s="57" t="s">
        <v>7</v>
      </c>
      <c r="AT21" s="57" t="s">
        <v>7</v>
      </c>
      <c r="AU21" s="57" t="s">
        <v>7</v>
      </c>
      <c r="AV21" s="57" t="s">
        <v>498</v>
      </c>
      <c r="AW21" s="57" t="s">
        <v>7</v>
      </c>
      <c r="AX21" s="113" t="s">
        <v>984</v>
      </c>
      <c r="AY21" s="57" t="s">
        <v>7</v>
      </c>
      <c r="AZ21" s="57" t="s">
        <v>7</v>
      </c>
      <c r="BA21" s="113" t="s">
        <v>985</v>
      </c>
      <c r="BB21" s="113" t="s">
        <v>986</v>
      </c>
      <c r="BC21" s="57" t="s">
        <v>7</v>
      </c>
      <c r="BD21" s="57" t="s">
        <v>7</v>
      </c>
      <c r="BE21" s="57" t="s">
        <v>7</v>
      </c>
      <c r="BF21" s="57" t="s">
        <v>7</v>
      </c>
      <c r="BG21" s="113" t="s">
        <v>955</v>
      </c>
      <c r="BH21" s="57" t="s">
        <v>7</v>
      </c>
    </row>
    <row r="22" spans="1:60" ht="89.45" customHeight="1" x14ac:dyDescent="0.3">
      <c r="A22" s="57">
        <v>20</v>
      </c>
      <c r="B22" s="57" t="s">
        <v>60</v>
      </c>
      <c r="C22" s="57" t="s">
        <v>726</v>
      </c>
      <c r="D22" s="57" t="s">
        <v>727</v>
      </c>
      <c r="E22" s="57" t="s">
        <v>136</v>
      </c>
      <c r="F22" s="57" t="s">
        <v>182</v>
      </c>
      <c r="G22" s="57" t="s">
        <v>366</v>
      </c>
      <c r="H22" s="57" t="s">
        <v>112</v>
      </c>
      <c r="I22" s="57" t="s">
        <v>728</v>
      </c>
      <c r="J22" s="110">
        <v>2.8</v>
      </c>
      <c r="K22" s="57" t="s">
        <v>729</v>
      </c>
      <c r="L22" s="57" t="s">
        <v>730</v>
      </c>
      <c r="M22" s="57" t="s">
        <v>537</v>
      </c>
      <c r="N22" s="57" t="s">
        <v>225</v>
      </c>
      <c r="O22" s="57" t="s">
        <v>141</v>
      </c>
      <c r="P22" s="57" t="s">
        <v>731</v>
      </c>
      <c r="Q22" s="57" t="s">
        <v>120</v>
      </c>
      <c r="R22" s="57" t="s">
        <v>732</v>
      </c>
      <c r="S22" s="57" t="s">
        <v>733</v>
      </c>
      <c r="T22" s="57" t="s">
        <v>734</v>
      </c>
      <c r="U22" s="57" t="s">
        <v>7</v>
      </c>
      <c r="V22" s="57" t="s">
        <v>7</v>
      </c>
      <c r="W22" s="57" t="s">
        <v>735</v>
      </c>
      <c r="X22" s="57" t="s">
        <v>352</v>
      </c>
      <c r="Y22" s="57" t="s">
        <v>7</v>
      </c>
      <c r="Z22" s="57" t="s">
        <v>736</v>
      </c>
      <c r="AA22" s="57" t="s">
        <v>7</v>
      </c>
      <c r="AB22" s="57" t="s">
        <v>7</v>
      </c>
      <c r="AC22" s="57" t="s">
        <v>7</v>
      </c>
      <c r="AD22" s="57" t="s">
        <v>254</v>
      </c>
      <c r="AE22" s="57" t="s">
        <v>737</v>
      </c>
      <c r="AF22" s="57" t="s">
        <v>7</v>
      </c>
      <c r="AG22" s="57" t="s">
        <v>200</v>
      </c>
      <c r="AH22" s="57" t="s">
        <v>738</v>
      </c>
      <c r="AI22" s="57" t="s">
        <v>739</v>
      </c>
      <c r="AJ22" s="204" t="s">
        <v>740</v>
      </c>
      <c r="AK22" s="205"/>
      <c r="AL22" s="206"/>
      <c r="AM22" s="57" t="s">
        <v>498</v>
      </c>
      <c r="AN22" s="57" t="s">
        <v>7</v>
      </c>
      <c r="AO22" s="57" t="s">
        <v>7</v>
      </c>
      <c r="AP22" s="57" t="s">
        <v>498</v>
      </c>
      <c r="AQ22" s="57" t="s">
        <v>7</v>
      </c>
      <c r="AR22" s="57" t="s">
        <v>7</v>
      </c>
      <c r="AS22" s="57" t="s">
        <v>498</v>
      </c>
      <c r="AT22" s="57" t="s">
        <v>7</v>
      </c>
      <c r="AU22" s="57" t="s">
        <v>7</v>
      </c>
      <c r="AV22" s="57" t="s">
        <v>7</v>
      </c>
      <c r="AW22" s="57" t="s">
        <v>7</v>
      </c>
      <c r="AX22" s="114" t="s">
        <v>987</v>
      </c>
      <c r="AY22" s="57" t="s">
        <v>7</v>
      </c>
      <c r="AZ22" s="57" t="s">
        <v>7</v>
      </c>
      <c r="BA22" s="113" t="s">
        <v>988</v>
      </c>
      <c r="BB22" s="57" t="s">
        <v>7</v>
      </c>
      <c r="BC22" s="57" t="s">
        <v>7</v>
      </c>
      <c r="BD22" s="113" t="s">
        <v>989</v>
      </c>
      <c r="BE22" s="57" t="s">
        <v>7</v>
      </c>
      <c r="BF22" s="57" t="s">
        <v>7</v>
      </c>
      <c r="BG22" s="57" t="s">
        <v>7</v>
      </c>
      <c r="BH22" s="57" t="s">
        <v>7</v>
      </c>
    </row>
    <row r="23" spans="1:60" ht="90" customHeight="1" x14ac:dyDescent="0.3">
      <c r="A23" s="57">
        <v>21</v>
      </c>
      <c r="B23" s="57" t="s">
        <v>61</v>
      </c>
      <c r="C23" s="57" t="s">
        <v>741</v>
      </c>
      <c r="D23" s="57" t="s">
        <v>742</v>
      </c>
      <c r="E23" s="57" t="s">
        <v>649</v>
      </c>
      <c r="F23" s="57" t="s">
        <v>110</v>
      </c>
      <c r="G23" s="57" t="s">
        <v>183</v>
      </c>
      <c r="H23" s="57" t="s">
        <v>164</v>
      </c>
      <c r="I23" s="57" t="s">
        <v>743</v>
      </c>
      <c r="J23" s="110">
        <v>0.3</v>
      </c>
      <c r="K23" s="57" t="s">
        <v>744</v>
      </c>
      <c r="L23" s="57" t="s">
        <v>745</v>
      </c>
      <c r="M23" s="57" t="s">
        <v>116</v>
      </c>
      <c r="N23" s="57" t="s">
        <v>117</v>
      </c>
      <c r="O23" s="57" t="s">
        <v>187</v>
      </c>
      <c r="P23" s="57" t="s">
        <v>699</v>
      </c>
      <c r="Q23" s="57" t="s">
        <v>120</v>
      </c>
      <c r="R23" s="57" t="s">
        <v>746</v>
      </c>
      <c r="S23" s="57" t="s">
        <v>747</v>
      </c>
      <c r="T23" s="57" t="s">
        <v>748</v>
      </c>
      <c r="U23" s="57" t="s">
        <v>7</v>
      </c>
      <c r="V23" s="57" t="s">
        <v>7</v>
      </c>
      <c r="W23" s="57" t="s">
        <v>749</v>
      </c>
      <c r="X23" s="57" t="s">
        <v>149</v>
      </c>
      <c r="Y23" s="57" t="s">
        <v>150</v>
      </c>
      <c r="Z23" s="57" t="s">
        <v>195</v>
      </c>
      <c r="AA23" s="57" t="s">
        <v>7</v>
      </c>
      <c r="AB23" s="57" t="s">
        <v>126</v>
      </c>
      <c r="AC23" s="57" t="s">
        <v>7</v>
      </c>
      <c r="AD23" s="57" t="s">
        <v>7</v>
      </c>
      <c r="AE23" s="57" t="s">
        <v>750</v>
      </c>
      <c r="AF23" s="57" t="s">
        <v>7</v>
      </c>
      <c r="AG23" s="57" t="s">
        <v>7</v>
      </c>
      <c r="AH23" s="57" t="s">
        <v>7</v>
      </c>
      <c r="AI23" s="57" t="s">
        <v>7</v>
      </c>
      <c r="AJ23" s="204" t="s">
        <v>751</v>
      </c>
      <c r="AK23" s="205"/>
      <c r="AL23" s="206"/>
      <c r="AM23" s="57" t="s">
        <v>7</v>
      </c>
      <c r="AN23" s="57" t="s">
        <v>7</v>
      </c>
      <c r="AO23" s="57" t="s">
        <v>7</v>
      </c>
      <c r="AP23" s="57" t="s">
        <v>498</v>
      </c>
      <c r="AQ23" s="57" t="s">
        <v>7</v>
      </c>
      <c r="AR23" s="57" t="s">
        <v>7</v>
      </c>
      <c r="AS23" s="57" t="s">
        <v>498</v>
      </c>
      <c r="AT23" s="57" t="s">
        <v>7</v>
      </c>
      <c r="AU23" s="57" t="s">
        <v>7</v>
      </c>
      <c r="AV23" s="57" t="s">
        <v>7</v>
      </c>
      <c r="AW23" s="57" t="s">
        <v>7</v>
      </c>
      <c r="AX23" s="57" t="s">
        <v>7</v>
      </c>
      <c r="AY23" s="57" t="s">
        <v>7</v>
      </c>
      <c r="AZ23" s="57" t="s">
        <v>7</v>
      </c>
      <c r="BA23" s="57" t="s">
        <v>990</v>
      </c>
      <c r="BB23" s="57" t="s">
        <v>7</v>
      </c>
      <c r="BC23" s="57" t="s">
        <v>7</v>
      </c>
      <c r="BD23" s="57" t="s">
        <v>991</v>
      </c>
      <c r="BE23" s="57" t="s">
        <v>7</v>
      </c>
      <c r="BF23" s="57" t="s">
        <v>7</v>
      </c>
      <c r="BG23" s="57" t="s">
        <v>7</v>
      </c>
      <c r="BH23" s="57" t="s">
        <v>7</v>
      </c>
    </row>
    <row r="24" spans="1:60" ht="132.6" customHeight="1" x14ac:dyDescent="0.3">
      <c r="A24" s="57">
        <v>22</v>
      </c>
      <c r="B24" s="57" t="s">
        <v>62</v>
      </c>
      <c r="C24" s="57" t="s">
        <v>752</v>
      </c>
      <c r="D24" s="57" t="s">
        <v>180</v>
      </c>
      <c r="E24" s="57" t="s">
        <v>753</v>
      </c>
      <c r="F24" s="57" t="s">
        <v>137</v>
      </c>
      <c r="G24" s="57" t="s">
        <v>111</v>
      </c>
      <c r="H24" s="57" t="s">
        <v>112</v>
      </c>
      <c r="I24" s="102" t="s">
        <v>754</v>
      </c>
      <c r="J24" s="110" t="s">
        <v>755</v>
      </c>
      <c r="K24" s="122" t="s">
        <v>756</v>
      </c>
      <c r="L24" s="57" t="s">
        <v>757</v>
      </c>
      <c r="M24" s="57" t="s">
        <v>116</v>
      </c>
      <c r="N24" s="57" t="s">
        <v>117</v>
      </c>
      <c r="O24" s="57" t="s">
        <v>758</v>
      </c>
      <c r="P24" s="57" t="s">
        <v>759</v>
      </c>
      <c r="Q24" s="57" t="s">
        <v>120</v>
      </c>
      <c r="R24" s="57" t="s">
        <v>760</v>
      </c>
      <c r="S24" s="57" t="s">
        <v>761</v>
      </c>
      <c r="T24" s="57"/>
      <c r="U24" s="57" t="s">
        <v>7</v>
      </c>
      <c r="V24" s="57" t="s">
        <v>7</v>
      </c>
      <c r="W24" s="57" t="s">
        <v>7</v>
      </c>
      <c r="X24" s="57" t="s">
        <v>400</v>
      </c>
      <c r="Y24" s="57" t="s">
        <v>7</v>
      </c>
      <c r="Z24" s="57" t="s">
        <v>560</v>
      </c>
      <c r="AA24" s="57" t="s">
        <v>762</v>
      </c>
      <c r="AB24" s="57" t="s">
        <v>511</v>
      </c>
      <c r="AC24" s="57" t="s">
        <v>7</v>
      </c>
      <c r="AD24" s="57" t="s">
        <v>127</v>
      </c>
      <c r="AE24" s="57" t="s">
        <v>7</v>
      </c>
      <c r="AF24" s="57" t="s">
        <v>7</v>
      </c>
      <c r="AG24" s="57" t="s">
        <v>763</v>
      </c>
      <c r="AH24" s="57" t="s">
        <v>764</v>
      </c>
      <c r="AI24" s="57" t="s">
        <v>7</v>
      </c>
      <c r="AJ24" s="200" t="s">
        <v>765</v>
      </c>
      <c r="AK24" s="201"/>
      <c r="AL24" s="202"/>
      <c r="AM24" s="57" t="s">
        <v>7</v>
      </c>
      <c r="AN24" s="57" t="s">
        <v>7</v>
      </c>
      <c r="AO24" s="57" t="s">
        <v>7</v>
      </c>
      <c r="AP24" s="57" t="s">
        <v>498</v>
      </c>
      <c r="AQ24" s="57" t="s">
        <v>7</v>
      </c>
      <c r="AR24" s="57" t="s">
        <v>7</v>
      </c>
      <c r="AS24" s="57" t="s">
        <v>7</v>
      </c>
      <c r="AT24" s="57" t="s">
        <v>7</v>
      </c>
      <c r="AU24" s="57" t="s">
        <v>7</v>
      </c>
      <c r="AV24" s="57" t="s">
        <v>7</v>
      </c>
      <c r="AW24" s="57" t="s">
        <v>7</v>
      </c>
      <c r="AX24" s="57" t="s">
        <v>7</v>
      </c>
      <c r="AY24" s="57" t="s">
        <v>7</v>
      </c>
      <c r="AZ24" s="57" t="s">
        <v>7</v>
      </c>
      <c r="BA24" s="57" t="s">
        <v>992</v>
      </c>
      <c r="BB24" s="57" t="s">
        <v>7</v>
      </c>
      <c r="BC24" s="57" t="s">
        <v>7</v>
      </c>
      <c r="BD24" s="57" t="s">
        <v>7</v>
      </c>
      <c r="BE24" s="57" t="s">
        <v>7</v>
      </c>
      <c r="BF24" s="57" t="s">
        <v>7</v>
      </c>
      <c r="BG24" s="57" t="s">
        <v>7</v>
      </c>
      <c r="BH24" s="57" t="s">
        <v>7</v>
      </c>
    </row>
    <row r="25" spans="1:60" ht="123.6" customHeight="1" x14ac:dyDescent="0.3">
      <c r="A25" s="57">
        <v>23</v>
      </c>
      <c r="B25" s="57" t="s">
        <v>63</v>
      </c>
      <c r="C25" s="57" t="s">
        <v>766</v>
      </c>
      <c r="D25" s="57" t="s">
        <v>135</v>
      </c>
      <c r="E25" s="57" t="s">
        <v>136</v>
      </c>
      <c r="F25" s="57" t="s">
        <v>110</v>
      </c>
      <c r="G25" s="57" t="s">
        <v>111</v>
      </c>
      <c r="H25" s="57" t="s">
        <v>112</v>
      </c>
      <c r="I25" s="57" t="s">
        <v>767</v>
      </c>
      <c r="J25" s="110">
        <v>1.8</v>
      </c>
      <c r="K25" s="57" t="s">
        <v>768</v>
      </c>
      <c r="L25" s="57" t="s">
        <v>769</v>
      </c>
      <c r="M25" s="57" t="s">
        <v>537</v>
      </c>
      <c r="N25" s="57" t="s">
        <v>117</v>
      </c>
      <c r="O25" s="57" t="s">
        <v>187</v>
      </c>
      <c r="P25" s="57" t="s">
        <v>770</v>
      </c>
      <c r="Q25" s="57" t="s">
        <v>120</v>
      </c>
      <c r="R25" s="57" t="s">
        <v>771</v>
      </c>
      <c r="S25" s="57" t="s">
        <v>772</v>
      </c>
      <c r="T25" s="57" t="s">
        <v>773</v>
      </c>
      <c r="U25" s="57" t="s">
        <v>7</v>
      </c>
      <c r="V25" s="57" t="s">
        <v>7</v>
      </c>
      <c r="W25" s="57" t="s">
        <v>774</v>
      </c>
      <c r="X25" s="57" t="s">
        <v>7</v>
      </c>
      <c r="Y25" s="57" t="s">
        <v>7</v>
      </c>
      <c r="Z25" s="57" t="s">
        <v>775</v>
      </c>
      <c r="AA25" s="57" t="s">
        <v>7</v>
      </c>
      <c r="AB25" s="57" t="s">
        <v>126</v>
      </c>
      <c r="AC25" s="57" t="s">
        <v>7</v>
      </c>
      <c r="AD25" s="57" t="s">
        <v>776</v>
      </c>
      <c r="AE25" s="57" t="s">
        <v>216</v>
      </c>
      <c r="AF25" s="57" t="s">
        <v>777</v>
      </c>
      <c r="AG25" s="57" t="s">
        <v>778</v>
      </c>
      <c r="AH25" s="57" t="s">
        <v>255</v>
      </c>
      <c r="AI25" s="57" t="s">
        <v>779</v>
      </c>
      <c r="AJ25" s="200" t="s">
        <v>780</v>
      </c>
      <c r="AK25" s="201"/>
      <c r="AL25" s="202"/>
      <c r="AM25" s="57" t="s">
        <v>7</v>
      </c>
      <c r="AN25" s="57" t="s">
        <v>7</v>
      </c>
      <c r="AO25" s="57" t="s">
        <v>7</v>
      </c>
      <c r="AP25" s="57" t="s">
        <v>498</v>
      </c>
      <c r="AQ25" s="57" t="s">
        <v>7</v>
      </c>
      <c r="AR25" s="57" t="s">
        <v>7</v>
      </c>
      <c r="AS25" s="57" t="s">
        <v>7</v>
      </c>
      <c r="AT25" s="57" t="s">
        <v>7</v>
      </c>
      <c r="AU25" s="57" t="s">
        <v>7</v>
      </c>
      <c r="AV25" s="57" t="s">
        <v>7</v>
      </c>
      <c r="AW25" s="57" t="s">
        <v>7</v>
      </c>
      <c r="AX25" s="57" t="s">
        <v>7</v>
      </c>
      <c r="AY25" s="57" t="s">
        <v>7</v>
      </c>
      <c r="AZ25" s="123" t="s">
        <v>7</v>
      </c>
      <c r="BA25" s="112" t="s">
        <v>993</v>
      </c>
      <c r="BB25" s="57" t="s">
        <v>7</v>
      </c>
      <c r="BC25" s="57" t="s">
        <v>7</v>
      </c>
      <c r="BD25" s="57" t="s">
        <v>7</v>
      </c>
      <c r="BE25" s="57" t="s">
        <v>7</v>
      </c>
      <c r="BF25" s="57" t="s">
        <v>7</v>
      </c>
      <c r="BG25" s="123" t="s">
        <v>955</v>
      </c>
      <c r="BH25" s="57" t="s">
        <v>7</v>
      </c>
    </row>
    <row r="26" spans="1:60" ht="127.15" customHeight="1" x14ac:dyDescent="0.3">
      <c r="A26" s="57">
        <v>24</v>
      </c>
      <c r="B26" s="57" t="s">
        <v>64</v>
      </c>
      <c r="C26" s="57" t="s">
        <v>781</v>
      </c>
      <c r="D26" s="57" t="s">
        <v>782</v>
      </c>
      <c r="E26" s="57" t="s">
        <v>783</v>
      </c>
      <c r="F26" s="57" t="s">
        <v>205</v>
      </c>
      <c r="G26" s="57" t="s">
        <v>366</v>
      </c>
      <c r="H26" s="57" t="s">
        <v>112</v>
      </c>
      <c r="I26" s="57" t="s">
        <v>784</v>
      </c>
      <c r="J26" s="110">
        <v>4</v>
      </c>
      <c r="K26" s="122" t="s">
        <v>785</v>
      </c>
      <c r="L26" s="57" t="s">
        <v>786</v>
      </c>
      <c r="M26" s="57" t="s">
        <v>787</v>
      </c>
      <c r="N26" s="57" t="s">
        <v>714</v>
      </c>
      <c r="O26" s="57" t="s">
        <v>788</v>
      </c>
      <c r="P26" s="57" t="s">
        <v>789</v>
      </c>
      <c r="Q26" s="57" t="s">
        <v>523</v>
      </c>
      <c r="R26" s="57" t="s">
        <v>790</v>
      </c>
      <c r="S26" s="57" t="s">
        <v>791</v>
      </c>
      <c r="T26" s="57" t="s">
        <v>792</v>
      </c>
      <c r="U26" s="57" t="s">
        <v>7</v>
      </c>
      <c r="V26" s="57" t="s">
        <v>7</v>
      </c>
      <c r="W26" s="57" t="s">
        <v>793</v>
      </c>
      <c r="X26" s="55" t="s">
        <v>794</v>
      </c>
      <c r="Y26" s="57" t="s">
        <v>7</v>
      </c>
      <c r="Z26" s="57" t="s">
        <v>560</v>
      </c>
      <c r="AA26" s="57" t="s">
        <v>7</v>
      </c>
      <c r="AB26" s="57" t="s">
        <v>7</v>
      </c>
      <c r="AC26" s="57" t="s">
        <v>7</v>
      </c>
      <c r="AD26" s="57" t="s">
        <v>795</v>
      </c>
      <c r="AE26" s="57" t="s">
        <v>659</v>
      </c>
      <c r="AF26" s="57" t="s">
        <v>7</v>
      </c>
      <c r="AG26" s="57" t="s">
        <v>200</v>
      </c>
      <c r="AH26" s="57" t="s">
        <v>233</v>
      </c>
      <c r="AI26" s="57" t="s">
        <v>796</v>
      </c>
      <c r="AJ26" s="200" t="s">
        <v>797</v>
      </c>
      <c r="AK26" s="201"/>
      <c r="AL26" s="202"/>
      <c r="AM26" s="57" t="s">
        <v>7</v>
      </c>
      <c r="AN26" s="57" t="s">
        <v>7</v>
      </c>
      <c r="AO26" s="57" t="s">
        <v>7</v>
      </c>
      <c r="AP26" s="57" t="s">
        <v>498</v>
      </c>
      <c r="AQ26" s="57" t="s">
        <v>7</v>
      </c>
      <c r="AR26" s="57" t="s">
        <v>7</v>
      </c>
      <c r="AS26" s="57" t="s">
        <v>7</v>
      </c>
      <c r="AT26" s="57" t="s">
        <v>7</v>
      </c>
      <c r="AU26" s="57" t="s">
        <v>7</v>
      </c>
      <c r="AV26" s="57" t="s">
        <v>498</v>
      </c>
      <c r="AW26" s="57" t="s">
        <v>7</v>
      </c>
      <c r="AX26" s="57" t="s">
        <v>7</v>
      </c>
      <c r="AY26" s="57" t="s">
        <v>7</v>
      </c>
      <c r="AZ26" s="57" t="s">
        <v>7</v>
      </c>
      <c r="BA26" s="57" t="s">
        <v>994</v>
      </c>
      <c r="BB26" s="57" t="s">
        <v>7</v>
      </c>
      <c r="BC26" s="57" t="s">
        <v>7</v>
      </c>
      <c r="BD26" s="57" t="s">
        <v>7</v>
      </c>
      <c r="BE26" s="57" t="s">
        <v>7</v>
      </c>
      <c r="BF26" s="57" t="s">
        <v>7</v>
      </c>
      <c r="BG26" s="124" t="s">
        <v>995</v>
      </c>
      <c r="BH26" s="57" t="s">
        <v>7</v>
      </c>
    </row>
    <row r="27" spans="1:60" ht="107.45" customHeight="1" x14ac:dyDescent="0.3">
      <c r="A27" s="57">
        <v>25</v>
      </c>
      <c r="B27" s="57" t="s">
        <v>65</v>
      </c>
      <c r="C27" s="57" t="s">
        <v>634</v>
      </c>
      <c r="D27" s="57" t="s">
        <v>135</v>
      </c>
      <c r="E27" s="57" t="s">
        <v>136</v>
      </c>
      <c r="F27" s="57" t="s">
        <v>182</v>
      </c>
      <c r="G27" s="57" t="s">
        <v>366</v>
      </c>
      <c r="H27" s="57" t="s">
        <v>112</v>
      </c>
      <c r="I27" s="57" t="s">
        <v>798</v>
      </c>
      <c r="J27" s="110">
        <v>1.8</v>
      </c>
      <c r="K27" s="57" t="s">
        <v>799</v>
      </c>
      <c r="L27" s="57" t="s">
        <v>800</v>
      </c>
      <c r="M27" s="57" t="s">
        <v>537</v>
      </c>
      <c r="N27" s="57" t="s">
        <v>264</v>
      </c>
      <c r="O27" s="57" t="s">
        <v>141</v>
      </c>
      <c r="P27" s="57" t="s">
        <v>239</v>
      </c>
      <c r="Q27" s="57" t="s">
        <v>120</v>
      </c>
      <c r="R27" s="57" t="s">
        <v>801</v>
      </c>
      <c r="S27" s="57" t="s">
        <v>802</v>
      </c>
      <c r="T27" s="57" t="s">
        <v>803</v>
      </c>
      <c r="U27" s="57" t="s">
        <v>7</v>
      </c>
      <c r="V27" s="57" t="s">
        <v>804</v>
      </c>
      <c r="W27" s="57" t="s">
        <v>7</v>
      </c>
      <c r="X27" s="57" t="s">
        <v>400</v>
      </c>
      <c r="Y27" s="57" t="s">
        <v>7</v>
      </c>
      <c r="Z27" s="57" t="s">
        <v>268</v>
      </c>
      <c r="AA27" s="57" t="s">
        <v>7</v>
      </c>
      <c r="AB27" s="125">
        <v>0.01</v>
      </c>
      <c r="AC27" s="57" t="s">
        <v>7</v>
      </c>
      <c r="AD27" s="57" t="s">
        <v>805</v>
      </c>
      <c r="AE27" s="57" t="s">
        <v>216</v>
      </c>
      <c r="AF27" s="57" t="s">
        <v>806</v>
      </c>
      <c r="AG27" s="57" t="s">
        <v>200</v>
      </c>
      <c r="AH27" s="57" t="s">
        <v>807</v>
      </c>
      <c r="AI27" s="57" t="s">
        <v>808</v>
      </c>
      <c r="AJ27" s="200" t="s">
        <v>809</v>
      </c>
      <c r="AK27" s="201"/>
      <c r="AL27" s="202"/>
      <c r="AM27" s="57" t="s">
        <v>7</v>
      </c>
      <c r="AN27" s="57" t="s">
        <v>7</v>
      </c>
      <c r="AO27" s="57" t="s">
        <v>7</v>
      </c>
      <c r="AP27" s="57" t="s">
        <v>498</v>
      </c>
      <c r="AQ27" s="57" t="s">
        <v>7</v>
      </c>
      <c r="AR27" s="57" t="s">
        <v>7</v>
      </c>
      <c r="AS27" s="57" t="s">
        <v>7</v>
      </c>
      <c r="AT27" s="57" t="s">
        <v>7</v>
      </c>
      <c r="AU27" s="57" t="s">
        <v>7</v>
      </c>
      <c r="AV27" s="57" t="s">
        <v>7</v>
      </c>
      <c r="AW27" s="57" t="s">
        <v>7</v>
      </c>
      <c r="AX27" s="57" t="s">
        <v>7</v>
      </c>
      <c r="AY27" s="57" t="s">
        <v>7</v>
      </c>
      <c r="AZ27" s="57" t="s">
        <v>7</v>
      </c>
      <c r="BA27" s="57" t="s">
        <v>996</v>
      </c>
      <c r="BB27" s="57" t="s">
        <v>7</v>
      </c>
      <c r="BC27" s="57" t="s">
        <v>7</v>
      </c>
      <c r="BD27" s="57" t="s">
        <v>7</v>
      </c>
      <c r="BE27" s="57" t="s">
        <v>7</v>
      </c>
      <c r="BF27" s="57" t="s">
        <v>7</v>
      </c>
      <c r="BG27" s="57" t="s">
        <v>7</v>
      </c>
      <c r="BH27" s="57" t="s">
        <v>7</v>
      </c>
    </row>
    <row r="28" spans="1:60" ht="118.15" customHeight="1" x14ac:dyDescent="0.3">
      <c r="A28" s="57">
        <v>26</v>
      </c>
      <c r="B28" s="57" t="s">
        <v>66</v>
      </c>
      <c r="C28" s="57" t="s">
        <v>634</v>
      </c>
      <c r="D28" s="57" t="s">
        <v>727</v>
      </c>
      <c r="E28" s="57" t="s">
        <v>810</v>
      </c>
      <c r="F28" s="57" t="s">
        <v>182</v>
      </c>
      <c r="G28" s="57" t="s">
        <v>366</v>
      </c>
      <c r="H28" s="57" t="s">
        <v>112</v>
      </c>
      <c r="I28" s="57" t="s">
        <v>811</v>
      </c>
      <c r="J28" s="110">
        <v>1.5</v>
      </c>
      <c r="K28" s="122" t="s">
        <v>812</v>
      </c>
      <c r="L28" s="57" t="s">
        <v>813</v>
      </c>
      <c r="M28" s="57" t="s">
        <v>537</v>
      </c>
      <c r="N28" s="57" t="s">
        <v>264</v>
      </c>
      <c r="O28" s="57" t="s">
        <v>141</v>
      </c>
      <c r="P28" s="57" t="s">
        <v>239</v>
      </c>
      <c r="Q28" s="57" t="s">
        <v>120</v>
      </c>
      <c r="R28" s="57" t="s">
        <v>814</v>
      </c>
      <c r="S28" s="57" t="s">
        <v>815</v>
      </c>
      <c r="T28" s="57" t="s">
        <v>816</v>
      </c>
      <c r="U28" s="57" t="s">
        <v>7</v>
      </c>
      <c r="V28" s="57" t="s">
        <v>804</v>
      </c>
      <c r="W28" s="57" t="s">
        <v>7</v>
      </c>
      <c r="X28" s="57" t="s">
        <v>7</v>
      </c>
      <c r="Y28" s="57" t="s">
        <v>7</v>
      </c>
      <c r="Z28" s="57" t="s">
        <v>268</v>
      </c>
      <c r="AA28" s="57" t="s">
        <v>7</v>
      </c>
      <c r="AB28" s="57" t="s">
        <v>7</v>
      </c>
      <c r="AC28" s="57" t="s">
        <v>7</v>
      </c>
      <c r="AD28" s="57" t="s">
        <v>817</v>
      </c>
      <c r="AE28" s="57" t="s">
        <v>7</v>
      </c>
      <c r="AF28" s="57" t="s">
        <v>7</v>
      </c>
      <c r="AG28" s="57" t="s">
        <v>7</v>
      </c>
      <c r="AH28" s="57" t="s">
        <v>255</v>
      </c>
      <c r="AI28" s="57" t="s">
        <v>7</v>
      </c>
      <c r="AJ28" s="200" t="s">
        <v>818</v>
      </c>
      <c r="AK28" s="201"/>
      <c r="AL28" s="202"/>
      <c r="AM28" s="57" t="s">
        <v>7</v>
      </c>
      <c r="AN28" s="57" t="s">
        <v>7</v>
      </c>
      <c r="AO28" s="57" t="s">
        <v>7</v>
      </c>
      <c r="AP28" s="57" t="s">
        <v>498</v>
      </c>
      <c r="AQ28" s="57" t="s">
        <v>7</v>
      </c>
      <c r="AR28" s="57" t="s">
        <v>7</v>
      </c>
      <c r="AS28" s="57" t="s">
        <v>7</v>
      </c>
      <c r="AT28" s="57" t="s">
        <v>7</v>
      </c>
      <c r="AU28" s="57" t="s">
        <v>7</v>
      </c>
      <c r="AV28" s="57" t="s">
        <v>7</v>
      </c>
      <c r="AW28" s="57" t="s">
        <v>7</v>
      </c>
      <c r="AX28" s="57" t="s">
        <v>7</v>
      </c>
      <c r="AY28" s="57" t="s">
        <v>7</v>
      </c>
      <c r="AZ28" s="57" t="s">
        <v>7</v>
      </c>
      <c r="BA28" s="57" t="s">
        <v>997</v>
      </c>
      <c r="BB28" s="57" t="s">
        <v>7</v>
      </c>
      <c r="BC28" s="57" t="s">
        <v>7</v>
      </c>
      <c r="BD28" s="57" t="s">
        <v>7</v>
      </c>
      <c r="BE28" s="57" t="s">
        <v>7</v>
      </c>
      <c r="BF28" s="57" t="s">
        <v>7</v>
      </c>
      <c r="BG28" s="57" t="s">
        <v>7</v>
      </c>
      <c r="BH28" s="57" t="s">
        <v>7</v>
      </c>
    </row>
    <row r="29" spans="1:60" ht="105.6" customHeight="1" x14ac:dyDescent="0.3">
      <c r="A29" s="57">
        <v>27</v>
      </c>
      <c r="B29" s="57" t="s">
        <v>25</v>
      </c>
      <c r="C29" s="57" t="s">
        <v>220</v>
      </c>
      <c r="D29" s="118" t="s">
        <v>7</v>
      </c>
      <c r="E29" s="57" t="s">
        <v>221</v>
      </c>
      <c r="F29" s="57" t="s">
        <v>182</v>
      </c>
      <c r="G29" s="57" t="s">
        <v>183</v>
      </c>
      <c r="H29" s="57" t="s">
        <v>164</v>
      </c>
      <c r="I29" s="57" t="s">
        <v>222</v>
      </c>
      <c r="J29" s="110">
        <v>7.1599999999999997E-2</v>
      </c>
      <c r="K29" s="110" t="s">
        <v>223</v>
      </c>
      <c r="L29" s="57" t="s">
        <v>224</v>
      </c>
      <c r="M29" s="57" t="s">
        <v>116</v>
      </c>
      <c r="N29" s="57" t="s">
        <v>225</v>
      </c>
      <c r="O29" s="57" t="s">
        <v>141</v>
      </c>
      <c r="P29" s="57" t="s">
        <v>171</v>
      </c>
      <c r="Q29" s="57" t="s">
        <v>120</v>
      </c>
      <c r="R29" s="57" t="s">
        <v>226</v>
      </c>
      <c r="S29" s="57" t="s">
        <v>227</v>
      </c>
      <c r="T29" s="57" t="s">
        <v>228</v>
      </c>
      <c r="U29" s="57" t="s">
        <v>7</v>
      </c>
      <c r="V29" s="57" t="s">
        <v>7</v>
      </c>
      <c r="W29" s="57" t="s">
        <v>7</v>
      </c>
      <c r="X29" s="119" t="s">
        <v>229</v>
      </c>
      <c r="Y29" s="57" t="s">
        <v>7</v>
      </c>
      <c r="Z29" s="57" t="s">
        <v>230</v>
      </c>
      <c r="AA29" s="57" t="s">
        <v>7</v>
      </c>
      <c r="AB29" s="57" t="s">
        <v>7</v>
      </c>
      <c r="AC29" s="57" t="s">
        <v>7</v>
      </c>
      <c r="AD29" s="57" t="s">
        <v>127</v>
      </c>
      <c r="AE29" s="57" t="s">
        <v>231</v>
      </c>
      <c r="AF29" s="57" t="s">
        <v>7</v>
      </c>
      <c r="AG29" s="57" t="s">
        <v>232</v>
      </c>
      <c r="AH29" s="57" t="s">
        <v>233</v>
      </c>
      <c r="AI29" s="57" t="s">
        <v>7</v>
      </c>
      <c r="AJ29" s="200" t="s">
        <v>234</v>
      </c>
      <c r="AK29" s="201"/>
      <c r="AL29" s="202"/>
      <c r="AM29" s="57" t="s">
        <v>7</v>
      </c>
      <c r="AN29" s="57" t="s">
        <v>7</v>
      </c>
      <c r="AO29" s="57" t="s">
        <v>7</v>
      </c>
      <c r="AP29" s="57" t="s">
        <v>11</v>
      </c>
      <c r="AQ29" s="57" t="s">
        <v>7</v>
      </c>
      <c r="AR29" s="57" t="s">
        <v>7</v>
      </c>
      <c r="AS29" s="57" t="s">
        <v>7</v>
      </c>
      <c r="AT29" s="57" t="s">
        <v>7</v>
      </c>
      <c r="AU29" s="57" t="s">
        <v>7</v>
      </c>
      <c r="AV29" s="57" t="s">
        <v>7</v>
      </c>
      <c r="AW29" s="57" t="s">
        <v>7</v>
      </c>
      <c r="AX29" s="57" t="s">
        <v>7</v>
      </c>
      <c r="AY29" s="57" t="s">
        <v>7</v>
      </c>
      <c r="AZ29" s="57" t="s">
        <v>7</v>
      </c>
      <c r="BA29" s="57" t="s">
        <v>998</v>
      </c>
      <c r="BB29" s="57" t="s">
        <v>7</v>
      </c>
      <c r="BC29" s="57" t="s">
        <v>7</v>
      </c>
      <c r="BD29" s="57" t="s">
        <v>7</v>
      </c>
      <c r="BE29" s="57" t="s">
        <v>7</v>
      </c>
      <c r="BF29" s="57" t="s">
        <v>7</v>
      </c>
      <c r="BG29" s="57" t="s">
        <v>7</v>
      </c>
      <c r="BH29" s="57" t="s">
        <v>7</v>
      </c>
    </row>
    <row r="30" spans="1:60" ht="126.6" customHeight="1" x14ac:dyDescent="0.3">
      <c r="A30" s="57">
        <v>28</v>
      </c>
      <c r="B30" s="57" t="s">
        <v>26</v>
      </c>
      <c r="C30" s="57" t="s">
        <v>179</v>
      </c>
      <c r="D30" s="57" t="s">
        <v>135</v>
      </c>
      <c r="E30" s="57" t="s">
        <v>136</v>
      </c>
      <c r="F30" s="57" t="s">
        <v>182</v>
      </c>
      <c r="G30" s="57" t="s">
        <v>235</v>
      </c>
      <c r="H30" s="57" t="s">
        <v>112</v>
      </c>
      <c r="I30" s="57" t="s">
        <v>236</v>
      </c>
      <c r="J30" s="110">
        <v>0.7</v>
      </c>
      <c r="K30" s="126" t="s">
        <v>237</v>
      </c>
      <c r="L30" s="127" t="s">
        <v>238</v>
      </c>
      <c r="M30" s="57" t="s">
        <v>116</v>
      </c>
      <c r="N30" s="57" t="s">
        <v>117</v>
      </c>
      <c r="O30" s="57" t="s">
        <v>187</v>
      </c>
      <c r="P30" s="57" t="s">
        <v>239</v>
      </c>
      <c r="Q30" s="57" t="s">
        <v>120</v>
      </c>
      <c r="R30" s="57" t="s">
        <v>7</v>
      </c>
      <c r="S30" s="57" t="s">
        <v>7</v>
      </c>
      <c r="T30" s="57" t="s">
        <v>240</v>
      </c>
      <c r="U30" s="57" t="s">
        <v>7</v>
      </c>
      <c r="V30" s="57" t="s">
        <v>241</v>
      </c>
      <c r="W30" s="57" t="s">
        <v>7</v>
      </c>
      <c r="X30" s="57" t="s">
        <v>242</v>
      </c>
      <c r="Y30" s="57" t="s">
        <v>7</v>
      </c>
      <c r="Z30" s="57" t="s">
        <v>7</v>
      </c>
      <c r="AA30" s="57" t="s">
        <v>7</v>
      </c>
      <c r="AB30" s="57" t="s">
        <v>7</v>
      </c>
      <c r="AC30" s="57" t="s">
        <v>7</v>
      </c>
      <c r="AD30" s="57" t="s">
        <v>243</v>
      </c>
      <c r="AE30" s="57" t="s">
        <v>7</v>
      </c>
      <c r="AF30" s="57" t="s">
        <v>7</v>
      </c>
      <c r="AG30" s="57" t="s">
        <v>244</v>
      </c>
      <c r="AH30" s="57" t="s">
        <v>245</v>
      </c>
      <c r="AI30" s="57" t="s">
        <v>7</v>
      </c>
      <c r="AJ30" s="200" t="s">
        <v>246</v>
      </c>
      <c r="AK30" s="201"/>
      <c r="AL30" s="202"/>
      <c r="AM30" s="57" t="s">
        <v>7</v>
      </c>
      <c r="AN30" s="57" t="s">
        <v>7</v>
      </c>
      <c r="AO30" s="57" t="s">
        <v>7</v>
      </c>
      <c r="AP30" s="57" t="s">
        <v>11</v>
      </c>
      <c r="AQ30" s="57" t="s">
        <v>7</v>
      </c>
      <c r="AR30" s="57" t="s">
        <v>7</v>
      </c>
      <c r="AS30" s="57" t="s">
        <v>7</v>
      </c>
      <c r="AT30" s="57" t="s">
        <v>7</v>
      </c>
      <c r="AU30" s="57" t="s">
        <v>7</v>
      </c>
      <c r="AV30" s="57" t="s">
        <v>7</v>
      </c>
      <c r="AW30" s="57" t="s">
        <v>7</v>
      </c>
      <c r="AX30" s="57" t="s">
        <v>7</v>
      </c>
      <c r="AY30" s="57" t="s">
        <v>7</v>
      </c>
      <c r="AZ30" s="57" t="s">
        <v>7</v>
      </c>
      <c r="BA30" s="57" t="s">
        <v>999</v>
      </c>
      <c r="BB30" s="57" t="s">
        <v>7</v>
      </c>
      <c r="BC30" s="57" t="s">
        <v>7</v>
      </c>
      <c r="BD30" s="57" t="s">
        <v>7</v>
      </c>
      <c r="BE30" s="57" t="s">
        <v>7</v>
      </c>
      <c r="BF30" s="57" t="s">
        <v>7</v>
      </c>
      <c r="BG30" s="57" t="s">
        <v>7</v>
      </c>
      <c r="BH30" s="57" t="s">
        <v>7</v>
      </c>
    </row>
    <row r="31" spans="1:60" ht="73.900000000000006" customHeight="1" x14ac:dyDescent="0.3">
      <c r="A31" s="79">
        <v>29</v>
      </c>
      <c r="B31" s="79" t="s">
        <v>27</v>
      </c>
      <c r="C31" s="79" t="s">
        <v>179</v>
      </c>
      <c r="D31" s="57" t="s">
        <v>135</v>
      </c>
      <c r="E31" s="57" t="s">
        <v>136</v>
      </c>
      <c r="F31" s="79" t="s">
        <v>247</v>
      </c>
      <c r="G31" s="79" t="s">
        <v>235</v>
      </c>
      <c r="H31" s="79" t="s">
        <v>112</v>
      </c>
      <c r="I31" s="79" t="s">
        <v>248</v>
      </c>
      <c r="J31" s="128">
        <v>2.5</v>
      </c>
      <c r="K31" s="129" t="s">
        <v>237</v>
      </c>
      <c r="L31" s="57" t="s">
        <v>249</v>
      </c>
      <c r="M31" s="57" t="s">
        <v>116</v>
      </c>
      <c r="N31" s="57" t="s">
        <v>117</v>
      </c>
      <c r="O31" s="79" t="s">
        <v>187</v>
      </c>
      <c r="P31" s="79" t="s">
        <v>239</v>
      </c>
      <c r="Q31" s="57" t="s">
        <v>120</v>
      </c>
      <c r="R31" s="79" t="s">
        <v>250</v>
      </c>
      <c r="S31" s="79" t="s">
        <v>251</v>
      </c>
      <c r="T31" s="79" t="s">
        <v>252</v>
      </c>
      <c r="U31" s="79" t="s">
        <v>253</v>
      </c>
      <c r="V31" s="79" t="s">
        <v>241</v>
      </c>
      <c r="W31" s="57" t="s">
        <v>7</v>
      </c>
      <c r="X31" s="57" t="s">
        <v>242</v>
      </c>
      <c r="Y31" s="79" t="s">
        <v>7</v>
      </c>
      <c r="Z31" s="79" t="s">
        <v>7</v>
      </c>
      <c r="AA31" s="57" t="s">
        <v>7</v>
      </c>
      <c r="AB31" s="57" t="s">
        <v>126</v>
      </c>
      <c r="AC31" s="79" t="s">
        <v>7</v>
      </c>
      <c r="AD31" s="57" t="s">
        <v>254</v>
      </c>
      <c r="AE31" s="79" t="s">
        <v>7</v>
      </c>
      <c r="AF31" s="79" t="s">
        <v>7</v>
      </c>
      <c r="AG31" s="79" t="s">
        <v>244</v>
      </c>
      <c r="AH31" s="57" t="s">
        <v>255</v>
      </c>
      <c r="AI31" s="79" t="s">
        <v>7</v>
      </c>
      <c r="AJ31" s="200" t="s">
        <v>256</v>
      </c>
      <c r="AK31" s="201"/>
      <c r="AL31" s="202"/>
      <c r="AM31" s="57" t="s">
        <v>7</v>
      </c>
      <c r="AN31" s="57" t="s">
        <v>7</v>
      </c>
      <c r="AO31" s="57" t="s">
        <v>7</v>
      </c>
      <c r="AP31" s="57" t="s">
        <v>11</v>
      </c>
      <c r="AQ31" s="57" t="s">
        <v>7</v>
      </c>
      <c r="AR31" s="57" t="s">
        <v>7</v>
      </c>
      <c r="AS31" s="57" t="s">
        <v>7</v>
      </c>
      <c r="AT31" s="57" t="s">
        <v>7</v>
      </c>
      <c r="AU31" s="57" t="s">
        <v>7</v>
      </c>
      <c r="AV31" s="57" t="s">
        <v>7</v>
      </c>
      <c r="AW31" s="57" t="s">
        <v>7</v>
      </c>
      <c r="AX31" s="57" t="s">
        <v>7</v>
      </c>
      <c r="AY31" s="57" t="s">
        <v>7</v>
      </c>
      <c r="AZ31" s="79" t="s">
        <v>7</v>
      </c>
      <c r="BA31" s="57" t="s">
        <v>1000</v>
      </c>
      <c r="BB31" s="57" t="s">
        <v>7</v>
      </c>
      <c r="BC31" s="57" t="s">
        <v>7</v>
      </c>
      <c r="BD31" s="57" t="s">
        <v>7</v>
      </c>
      <c r="BE31" s="57" t="s">
        <v>7</v>
      </c>
      <c r="BF31" s="57" t="s">
        <v>7</v>
      </c>
      <c r="BG31" s="57" t="s">
        <v>7</v>
      </c>
      <c r="BH31" s="57" t="s">
        <v>7</v>
      </c>
    </row>
    <row r="32" spans="1:60" ht="141" customHeight="1" x14ac:dyDescent="0.3">
      <c r="A32" s="57">
        <v>30</v>
      </c>
      <c r="B32" s="130" t="s">
        <v>67</v>
      </c>
      <c r="C32" s="57" t="s">
        <v>819</v>
      </c>
      <c r="D32" s="57" t="s">
        <v>180</v>
      </c>
      <c r="E32" s="57" t="s">
        <v>7</v>
      </c>
      <c r="F32" s="79" t="s">
        <v>247</v>
      </c>
      <c r="G32" s="57" t="s">
        <v>366</v>
      </c>
      <c r="H32" s="57" t="s">
        <v>112</v>
      </c>
      <c r="I32" s="57" t="s">
        <v>820</v>
      </c>
      <c r="J32" s="110" t="s">
        <v>821</v>
      </c>
      <c r="K32" s="131" t="s">
        <v>822</v>
      </c>
      <c r="L32" s="57" t="s">
        <v>823</v>
      </c>
      <c r="M32" s="57" t="s">
        <v>116</v>
      </c>
      <c r="N32" s="57" t="s">
        <v>824</v>
      </c>
      <c r="O32" s="57" t="s">
        <v>265</v>
      </c>
      <c r="P32" s="57" t="s">
        <v>266</v>
      </c>
      <c r="Q32" s="57" t="s">
        <v>120</v>
      </c>
      <c r="R32" s="57" t="s">
        <v>825</v>
      </c>
      <c r="S32" s="57" t="s">
        <v>826</v>
      </c>
      <c r="T32" s="57" t="s">
        <v>827</v>
      </c>
      <c r="U32" s="57"/>
      <c r="V32" s="57"/>
      <c r="W32" s="57" t="s">
        <v>828</v>
      </c>
      <c r="X32" s="57" t="s">
        <v>829</v>
      </c>
      <c r="Y32" s="57" t="s">
        <v>7</v>
      </c>
      <c r="Z32" s="57" t="s">
        <v>830</v>
      </c>
      <c r="AA32" s="57" t="s">
        <v>7</v>
      </c>
      <c r="AB32" s="57" t="s">
        <v>7</v>
      </c>
      <c r="AC32" s="57" t="s">
        <v>7</v>
      </c>
      <c r="AD32" s="132" t="s">
        <v>831</v>
      </c>
      <c r="AE32" s="133" t="s">
        <v>832</v>
      </c>
      <c r="AF32" s="57" t="s">
        <v>7</v>
      </c>
      <c r="AG32" s="133" t="s">
        <v>833</v>
      </c>
      <c r="AH32" s="57" t="s">
        <v>255</v>
      </c>
      <c r="AI32" s="57">
        <v>8000</v>
      </c>
      <c r="AJ32" s="200" t="s">
        <v>834</v>
      </c>
      <c r="AK32" s="201"/>
      <c r="AL32" s="202"/>
      <c r="AM32" s="57" t="s">
        <v>498</v>
      </c>
      <c r="AN32" s="57" t="s">
        <v>7</v>
      </c>
      <c r="AO32" s="57" t="s">
        <v>7</v>
      </c>
      <c r="AP32" s="57" t="s">
        <v>7</v>
      </c>
      <c r="AQ32" s="57" t="s">
        <v>7</v>
      </c>
      <c r="AR32" s="57" t="s">
        <v>7</v>
      </c>
      <c r="AS32" s="57" t="s">
        <v>7</v>
      </c>
      <c r="AT32" s="57" t="s">
        <v>7</v>
      </c>
      <c r="AU32" s="57" t="s">
        <v>7</v>
      </c>
      <c r="AV32" s="57" t="s">
        <v>7</v>
      </c>
      <c r="AW32" s="57" t="s">
        <v>7</v>
      </c>
      <c r="AX32" s="57" t="s">
        <v>1001</v>
      </c>
      <c r="AY32" s="57" t="s">
        <v>7</v>
      </c>
      <c r="AZ32" s="57" t="s">
        <v>7</v>
      </c>
      <c r="BA32" s="57" t="s">
        <v>7</v>
      </c>
      <c r="BB32" s="57" t="s">
        <v>7</v>
      </c>
      <c r="BC32" s="57" t="s">
        <v>7</v>
      </c>
      <c r="BD32" s="57" t="s">
        <v>7</v>
      </c>
      <c r="BE32" s="57" t="s">
        <v>7</v>
      </c>
      <c r="BF32" s="57" t="s">
        <v>7</v>
      </c>
      <c r="BG32" s="57" t="s">
        <v>7</v>
      </c>
      <c r="BH32" s="57" t="s">
        <v>7</v>
      </c>
    </row>
    <row r="33" spans="1:60" ht="127.9" customHeight="1" x14ac:dyDescent="0.3">
      <c r="A33" s="57">
        <v>31</v>
      </c>
      <c r="B33" s="57" t="s">
        <v>68</v>
      </c>
      <c r="C33" s="57" t="s">
        <v>835</v>
      </c>
      <c r="D33" s="57" t="s">
        <v>296</v>
      </c>
      <c r="E33" s="57" t="s">
        <v>836</v>
      </c>
      <c r="F33" s="79" t="s">
        <v>247</v>
      </c>
      <c r="G33" s="57" t="s">
        <v>366</v>
      </c>
      <c r="H33" s="57" t="s">
        <v>112</v>
      </c>
      <c r="I33" s="57" t="s">
        <v>837</v>
      </c>
      <c r="J33" s="110">
        <v>2.5</v>
      </c>
      <c r="K33" s="57" t="s">
        <v>838</v>
      </c>
      <c r="L33" s="134" t="s">
        <v>839</v>
      </c>
      <c r="M33" s="57" t="s">
        <v>116</v>
      </c>
      <c r="N33" s="57" t="s">
        <v>824</v>
      </c>
      <c r="O33" s="119" t="s">
        <v>840</v>
      </c>
      <c r="P33" s="57" t="s">
        <v>210</v>
      </c>
      <c r="Q33" s="57" t="s">
        <v>120</v>
      </c>
      <c r="R33" s="57" t="s">
        <v>841</v>
      </c>
      <c r="S33" s="57" t="s">
        <v>842</v>
      </c>
      <c r="T33" s="57" t="s">
        <v>843</v>
      </c>
      <c r="U33" s="57"/>
      <c r="V33" s="57" t="s">
        <v>7</v>
      </c>
      <c r="W33" s="57" t="s">
        <v>844</v>
      </c>
      <c r="X33" s="57" t="s">
        <v>845</v>
      </c>
      <c r="Y33" s="57" t="s">
        <v>7</v>
      </c>
      <c r="Z33" s="57" t="s">
        <v>846</v>
      </c>
      <c r="AA33" s="57" t="s">
        <v>7</v>
      </c>
      <c r="AB33" s="57" t="s">
        <v>847</v>
      </c>
      <c r="AC33" s="57" t="s">
        <v>7</v>
      </c>
      <c r="AD33" s="57" t="s">
        <v>848</v>
      </c>
      <c r="AE33" s="57" t="s">
        <v>7</v>
      </c>
      <c r="AF33" s="57" t="s">
        <v>7</v>
      </c>
      <c r="AG33" s="57" t="s">
        <v>200</v>
      </c>
      <c r="AH33" s="57"/>
      <c r="AI33" s="57" t="s">
        <v>7</v>
      </c>
      <c r="AJ33" s="200" t="s">
        <v>849</v>
      </c>
      <c r="AK33" s="201"/>
      <c r="AL33" s="202"/>
      <c r="AM33" s="57" t="s">
        <v>7</v>
      </c>
      <c r="AN33" s="57" t="s">
        <v>7</v>
      </c>
      <c r="AO33" s="57" t="s">
        <v>7</v>
      </c>
      <c r="AP33" s="57" t="s">
        <v>498</v>
      </c>
      <c r="AQ33" s="57" t="s">
        <v>7</v>
      </c>
      <c r="AR33" s="57" t="s">
        <v>7</v>
      </c>
      <c r="AS33" s="57" t="s">
        <v>7</v>
      </c>
      <c r="AT33" s="57" t="s">
        <v>7</v>
      </c>
      <c r="AU33" s="57" t="s">
        <v>7</v>
      </c>
      <c r="AV33" s="57" t="s">
        <v>7</v>
      </c>
      <c r="AW33" s="57" t="s">
        <v>7</v>
      </c>
      <c r="AX33" s="57" t="s">
        <v>7</v>
      </c>
      <c r="AY33" s="57" t="s">
        <v>7</v>
      </c>
      <c r="AZ33" s="57" t="s">
        <v>7</v>
      </c>
      <c r="BA33" s="57" t="s">
        <v>1002</v>
      </c>
      <c r="BB33" s="57" t="s">
        <v>7</v>
      </c>
      <c r="BC33" s="57" t="s">
        <v>7</v>
      </c>
      <c r="BD33" s="57" t="s">
        <v>7</v>
      </c>
      <c r="BE33" s="57" t="s">
        <v>7</v>
      </c>
      <c r="BF33" s="57" t="s">
        <v>7</v>
      </c>
      <c r="BG33" s="57" t="s">
        <v>7</v>
      </c>
      <c r="BH33" s="57" t="s">
        <v>7</v>
      </c>
    </row>
    <row r="34" spans="1:60" ht="88.15" customHeight="1" x14ac:dyDescent="0.3">
      <c r="A34" s="57">
        <v>32</v>
      </c>
      <c r="B34" s="57" t="s">
        <v>69</v>
      </c>
      <c r="C34" s="57" t="s">
        <v>850</v>
      </c>
      <c r="D34" s="57" t="s">
        <v>851</v>
      </c>
      <c r="E34" s="57" t="s">
        <v>7</v>
      </c>
      <c r="F34" s="57" t="s">
        <v>852</v>
      </c>
      <c r="G34" s="57" t="s">
        <v>366</v>
      </c>
      <c r="H34" s="57" t="s">
        <v>112</v>
      </c>
      <c r="I34" s="57" t="s">
        <v>853</v>
      </c>
      <c r="J34" s="110">
        <v>2</v>
      </c>
      <c r="K34" s="57" t="s">
        <v>854</v>
      </c>
      <c r="L34" s="57" t="s">
        <v>855</v>
      </c>
      <c r="M34" s="57" t="s">
        <v>116</v>
      </c>
      <c r="N34" s="57" t="s">
        <v>714</v>
      </c>
      <c r="O34" s="57" t="s">
        <v>856</v>
      </c>
      <c r="P34" s="57" t="s">
        <v>857</v>
      </c>
      <c r="Q34" s="57" t="s">
        <v>523</v>
      </c>
      <c r="R34" s="57" t="s">
        <v>7</v>
      </c>
      <c r="S34" s="57" t="s">
        <v>7</v>
      </c>
      <c r="T34" s="57" t="s">
        <v>858</v>
      </c>
      <c r="U34" s="57"/>
      <c r="V34" s="57" t="s">
        <v>7</v>
      </c>
      <c r="W34" s="57" t="s">
        <v>859</v>
      </c>
      <c r="X34" s="57" t="s">
        <v>580</v>
      </c>
      <c r="Y34" s="57" t="s">
        <v>194</v>
      </c>
      <c r="Z34" s="57" t="s">
        <v>860</v>
      </c>
      <c r="AA34" s="57" t="s">
        <v>7</v>
      </c>
      <c r="AB34" s="57" t="s">
        <v>7</v>
      </c>
      <c r="AC34" s="57" t="s">
        <v>7</v>
      </c>
      <c r="AD34" s="57" t="s">
        <v>861</v>
      </c>
      <c r="AE34" s="57" t="s">
        <v>7</v>
      </c>
      <c r="AF34" s="57" t="s">
        <v>7</v>
      </c>
      <c r="AG34" s="57"/>
      <c r="AH34" s="57" t="s">
        <v>255</v>
      </c>
      <c r="AI34" s="57">
        <v>100000</v>
      </c>
      <c r="AJ34" s="200" t="s">
        <v>862</v>
      </c>
      <c r="AK34" s="201"/>
      <c r="AL34" s="202"/>
      <c r="AM34" s="57" t="s">
        <v>7</v>
      </c>
      <c r="AN34" s="57" t="s">
        <v>7</v>
      </c>
      <c r="AO34" s="57" t="s">
        <v>7</v>
      </c>
      <c r="AP34" s="57" t="s">
        <v>498</v>
      </c>
      <c r="AQ34" s="57" t="s">
        <v>7</v>
      </c>
      <c r="AR34" s="57" t="s">
        <v>7</v>
      </c>
      <c r="AS34" s="57" t="s">
        <v>7</v>
      </c>
      <c r="AT34" s="57" t="s">
        <v>7</v>
      </c>
      <c r="AU34" s="57" t="s">
        <v>7</v>
      </c>
      <c r="AV34" s="57" t="s">
        <v>7</v>
      </c>
      <c r="AW34" s="57" t="s">
        <v>7</v>
      </c>
      <c r="AX34" s="57" t="s">
        <v>7</v>
      </c>
      <c r="AY34" s="57" t="s">
        <v>7</v>
      </c>
      <c r="AZ34" s="57" t="s">
        <v>7</v>
      </c>
      <c r="BA34" s="57" t="s">
        <v>1003</v>
      </c>
      <c r="BB34" s="57" t="s">
        <v>7</v>
      </c>
      <c r="BC34" s="57" t="s">
        <v>7</v>
      </c>
      <c r="BD34" s="57" t="s">
        <v>7</v>
      </c>
      <c r="BE34" s="57" t="s">
        <v>7</v>
      </c>
      <c r="BF34" s="57" t="s">
        <v>7</v>
      </c>
      <c r="BG34" s="57" t="s">
        <v>7</v>
      </c>
      <c r="BH34" s="57" t="s">
        <v>7</v>
      </c>
    </row>
    <row r="35" spans="1:60" ht="112.9" customHeight="1" x14ac:dyDescent="0.3">
      <c r="A35" s="57">
        <v>33</v>
      </c>
      <c r="B35" s="57" t="s">
        <v>28</v>
      </c>
      <c r="C35" s="57" t="s">
        <v>257</v>
      </c>
      <c r="D35" s="57" t="s">
        <v>258</v>
      </c>
      <c r="E35" s="57" t="s">
        <v>259</v>
      </c>
      <c r="F35" s="57" t="s">
        <v>260</v>
      </c>
      <c r="G35" s="57" t="s">
        <v>235</v>
      </c>
      <c r="H35" s="57" t="s">
        <v>112</v>
      </c>
      <c r="I35" s="57" t="s">
        <v>261</v>
      </c>
      <c r="J35" s="110">
        <v>2</v>
      </c>
      <c r="K35" s="57" t="s">
        <v>262</v>
      </c>
      <c r="L35" s="102" t="s">
        <v>263</v>
      </c>
      <c r="M35" s="57" t="s">
        <v>116</v>
      </c>
      <c r="N35" s="57" t="s">
        <v>264</v>
      </c>
      <c r="O35" s="57" t="s">
        <v>265</v>
      </c>
      <c r="P35" s="57" t="s">
        <v>266</v>
      </c>
      <c r="Q35" s="57" t="s">
        <v>120</v>
      </c>
      <c r="R35" s="57" t="s">
        <v>7</v>
      </c>
      <c r="S35" s="57" t="s">
        <v>267</v>
      </c>
      <c r="T35" s="57"/>
      <c r="U35" s="57" t="s">
        <v>7</v>
      </c>
      <c r="V35" s="57" t="s">
        <v>7</v>
      </c>
      <c r="W35" s="57" t="s">
        <v>7</v>
      </c>
      <c r="X35" s="57" t="s">
        <v>7</v>
      </c>
      <c r="Y35" s="57" t="s">
        <v>7</v>
      </c>
      <c r="Z35" s="57" t="s">
        <v>268</v>
      </c>
      <c r="AA35" s="57" t="s">
        <v>7</v>
      </c>
      <c r="AB35" s="57" t="s">
        <v>7</v>
      </c>
      <c r="AC35" s="57" t="s">
        <v>7</v>
      </c>
      <c r="AD35" s="57" t="s">
        <v>7</v>
      </c>
      <c r="AE35" s="119" t="s">
        <v>269</v>
      </c>
      <c r="AF35" s="57" t="s">
        <v>270</v>
      </c>
      <c r="AG35" s="57" t="s">
        <v>200</v>
      </c>
      <c r="AH35" s="57" t="s">
        <v>255</v>
      </c>
      <c r="AI35" s="57" t="s">
        <v>271</v>
      </c>
      <c r="AJ35" s="200" t="s">
        <v>272</v>
      </c>
      <c r="AK35" s="201"/>
      <c r="AL35" s="202"/>
      <c r="AM35" s="57" t="s">
        <v>7</v>
      </c>
      <c r="AN35" s="57" t="s">
        <v>7</v>
      </c>
      <c r="AO35" s="57" t="s">
        <v>7</v>
      </c>
      <c r="AP35" s="57" t="s">
        <v>11</v>
      </c>
      <c r="AQ35" s="57" t="s">
        <v>7</v>
      </c>
      <c r="AR35" s="57" t="s">
        <v>7</v>
      </c>
      <c r="AS35" s="57" t="s">
        <v>7</v>
      </c>
      <c r="AT35" s="57" t="s">
        <v>7</v>
      </c>
      <c r="AU35" s="57" t="s">
        <v>7</v>
      </c>
      <c r="AV35" s="57" t="s">
        <v>7</v>
      </c>
      <c r="AW35" s="57" t="s">
        <v>7</v>
      </c>
      <c r="AX35" s="57" t="s">
        <v>7</v>
      </c>
      <c r="AY35" s="57" t="s">
        <v>7</v>
      </c>
      <c r="AZ35" s="57" t="s">
        <v>7</v>
      </c>
      <c r="BA35" s="57" t="s">
        <v>1004</v>
      </c>
      <c r="BB35" s="57" t="s">
        <v>7</v>
      </c>
      <c r="BC35" s="57" t="s">
        <v>7</v>
      </c>
      <c r="BD35" s="57" t="s">
        <v>7</v>
      </c>
      <c r="BE35" s="57" t="s">
        <v>7</v>
      </c>
      <c r="BF35" s="57" t="s">
        <v>7</v>
      </c>
      <c r="BG35" s="57" t="s">
        <v>7</v>
      </c>
      <c r="BH35" s="57" t="s">
        <v>7</v>
      </c>
    </row>
    <row r="36" spans="1:60" x14ac:dyDescent="0.3">
      <c r="A36" s="203" t="s">
        <v>934</v>
      </c>
      <c r="B36" s="203"/>
      <c r="C36" s="203"/>
      <c r="D36" s="203"/>
      <c r="E36" s="203"/>
      <c r="F36" s="203"/>
      <c r="G36" s="203"/>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102"/>
      <c r="BF36" s="102"/>
      <c r="BG36" s="102"/>
      <c r="BH36" s="102"/>
    </row>
  </sheetData>
  <mergeCells count="44">
    <mergeCell ref="Z1:AC1"/>
    <mergeCell ref="AD1:AI1"/>
    <mergeCell ref="AJ1:AL2"/>
    <mergeCell ref="A1:A2"/>
    <mergeCell ref="B1:B2"/>
    <mergeCell ref="C1:K1"/>
    <mergeCell ref="L1:Q1"/>
    <mergeCell ref="R1:Y1"/>
    <mergeCell ref="AM1:AW1"/>
    <mergeCell ref="AX1:BH1"/>
    <mergeCell ref="AJ3:AL3"/>
    <mergeCell ref="AJ16:AL16"/>
    <mergeCell ref="AJ5:AL5"/>
    <mergeCell ref="AJ6:AL6"/>
    <mergeCell ref="AJ7:AL7"/>
    <mergeCell ref="AJ8:AL8"/>
    <mergeCell ref="AJ9:AL9"/>
    <mergeCell ref="AJ10:AL10"/>
    <mergeCell ref="AJ11:AL11"/>
    <mergeCell ref="AJ12:AL12"/>
    <mergeCell ref="AJ13:AL13"/>
    <mergeCell ref="AJ14:AL14"/>
    <mergeCell ref="AJ15:AL15"/>
    <mergeCell ref="AJ4:AL4"/>
    <mergeCell ref="AJ28:AL28"/>
    <mergeCell ref="AJ17:AL17"/>
    <mergeCell ref="AJ18:AL18"/>
    <mergeCell ref="AJ19:AL19"/>
    <mergeCell ref="AJ20:AL20"/>
    <mergeCell ref="AJ21:AL21"/>
    <mergeCell ref="AJ22:AL22"/>
    <mergeCell ref="AJ23:AL23"/>
    <mergeCell ref="AJ24:AL24"/>
    <mergeCell ref="AJ25:AL25"/>
    <mergeCell ref="AJ26:AL26"/>
    <mergeCell ref="AJ27:AL27"/>
    <mergeCell ref="AJ35:AL35"/>
    <mergeCell ref="A36:G36"/>
    <mergeCell ref="AJ29:AL29"/>
    <mergeCell ref="AJ30:AL30"/>
    <mergeCell ref="AJ31:AL31"/>
    <mergeCell ref="AJ32:AL32"/>
    <mergeCell ref="AJ33:AL33"/>
    <mergeCell ref="AJ34:AL34"/>
  </mergeCells>
  <hyperlinks>
    <hyperlink ref="BC3" r:id="rId1" display="https://medtechmaldives.com/products/afinion-2-7799" xr:uid="{169EE9B7-C4D0-4A86-8FBF-8816CE1CBFB7}"/>
    <hyperlink ref="BD3" r:id="rId2" xr:uid="{5DAA1BC0-1EE8-4B06-8C34-58AC04450006}"/>
    <hyperlink ref="BG3" r:id="rId3" xr:uid="{1B934968-C79A-4C15-B9D9-A48FEC486420}"/>
    <hyperlink ref="AJ4" r:id="rId4" xr:uid="{455F2943-8932-45DC-A1BD-AA90EB022E6B}"/>
    <hyperlink ref="BA6" r:id="rId5" display="1.  IChroma II Reader | Kin Diagnostics | Mumbai | Kolkata | Delhi      2.  https://quicklab.in/product/i-chroma-ii-immunoassay-analyzer/ 3.https://cpcdiagnostics.in/product/ichroma-ii/" xr:uid="{7CA0BB30-FA18-4EF6-B6A9-A2C3C4DEF805}"/>
    <hyperlink ref="BG6" r:id="rId6" xr:uid="{5A60F000-BB1E-4584-BC7E-5E3925FD1C49}"/>
    <hyperlink ref="BB6" r:id="rId7" xr:uid="{4D9373E0-753B-4DEB-82BD-E5C816DA5EF7}"/>
    <hyperlink ref="AX6" r:id="rId8" xr:uid="{D997291A-D052-4EF9-AD90-ED8EF268710E}"/>
    <hyperlink ref="AJ4:AL4" r:id="rId9" display="https://www.globalpointofcare.abbott/ww/en/product-details/nycocard-reader.html" xr:uid="{538B3D71-5A31-4445-9024-279DD8FA2747}"/>
    <hyperlink ref="BG4" r:id="rId10" xr:uid="{499A2349-8B58-4E59-8DE6-84B82BA41A83}"/>
    <hyperlink ref="BD4" r:id="rId11" display="Advanced Medical &amp; Diagnostics Trading’s ,_x000a_Yangon: 01-571656, 09-7316248         amd@amdmyanmar.com                                                                                                                                                                                                              https://www.amdmyanmar.com/product/afinion-2/" xr:uid="{B063DD43-20AF-478D-BDD6-DD01110E9B6E}"/>
    <hyperlink ref="BA4" r:id="rId12" xr:uid="{82C99FBD-31D3-4C00-A54C-F3761646570D}"/>
    <hyperlink ref="AJ7" r:id="rId13" xr:uid="{346983FD-9A51-49A5-B368-A68886DD08CE}"/>
    <hyperlink ref="BB7" r:id="rId14" xr:uid="{B641F866-7642-4838-AD70-15A20F3D1BD8}"/>
    <hyperlink ref="AX7" r:id="rId15" xr:uid="{2397CF63-F3C0-4867-BEB4-B7CB7BD1E245}"/>
    <hyperlink ref="BA8" r:id="rId16" xr:uid="{8F3B26FB-0484-43AF-85E8-7444C8A1F47F}"/>
    <hyperlink ref="AJ9" r:id="rId17" xr:uid="{337B9925-DFC0-4C9B-8885-D270AFE32F78}"/>
    <hyperlink ref="BA10" r:id="rId18" display="DiaSys India" xr:uid="{3710128A-A3B9-4596-A894-A2F18134792E}"/>
    <hyperlink ref="AX13" r:id="rId19" xr:uid="{07A0D16A-329C-4915-ABEA-D7F60EC1D67C}"/>
    <hyperlink ref="BG14" r:id="rId20" xr:uid="{97F05956-0DBF-4BF0-91DE-C856A0760F72}"/>
    <hyperlink ref="AJ16" r:id="rId21" xr:uid="{3C62FF12-F064-4005-ABCF-8862D4EE1D54}"/>
    <hyperlink ref="BG16" r:id="rId22" display="HbA1c Analyzer เครื่องตรวจวิเคราะห์ฮีโมโกลบินเอวันซี (biozen.co.th)" xr:uid="{F9C4D35D-CC56-4729-A74B-2E6A297AA6E6}"/>
    <hyperlink ref="BA18" r:id="rId23" display="Biochemistry Analyzer Reagents and Rapid Card Manufacturer | Raj Biosis Private Limited, Jaipur" xr:uid="{F43F3E8B-106D-4E9C-90CC-786F9A8360B6}"/>
    <hyperlink ref="BB18" r:id="rId24" xr:uid="{4AB03790-E690-4D67-8E04-99426E1DE1ED}"/>
    <hyperlink ref="AJ19" r:id="rId25" xr:uid="{36392FC6-91A3-4D24-9025-24FF8D5D22D7}"/>
    <hyperlink ref="AJ20" r:id="rId26" xr:uid="{96107696-6CEC-4470-A157-8D169EF3C5A1}"/>
    <hyperlink ref="AJ21" r:id="rId27" xr:uid="{EB3A1D8F-DFF3-456A-83F9-773CABCB2962}"/>
    <hyperlink ref="AX21" r:id="rId28" display="Lifotronic- FA-160 Immunofluorescence Analyzer – Health Aid BD" xr:uid="{24ED21AC-864A-4ED0-B82F-29AE3F7B6B05}"/>
    <hyperlink ref="BA21" r:id="rId29" display="https://www.immunoshop.com/" xr:uid="{D79661AB-0231-45AA-9A4A-D29EF2B0122C}"/>
    <hyperlink ref="BG21" r:id="rId30" xr:uid="{115AA01F-D4BE-4A53-AE9A-85C84F1BD85B}"/>
    <hyperlink ref="BD22" r:id="rId31" display="https://biomedmyanmar.com/products/11/wondfo" xr:uid="{F1F7B6A4-B679-40D3-9423-6F44BFC2F0A4}"/>
    <hyperlink ref="BA22" r:id="rId32" display="https://starbiomed.com " xr:uid="{D2330AB4-6B3A-43F8-97EC-3281F7BC85DD}"/>
    <hyperlink ref="AX22" r:id="rId33" location=" F-11, Level# 11 Tropicana Tower_x000a_45 Purana Paltan Dhaka-1000, Bangladesh._x000a_Mobile: +880 1405100400_x000a_E-mail:contact@medistorebd.com" xr:uid="{7D458FC0-257C-4438-9DA4-10D229CCB1C6}"/>
    <hyperlink ref="AJ22" r:id="rId34" xr:uid="{3AA11EFE-6BBE-4AA3-BF63-7D1933827C4A}"/>
    <hyperlink ref="AJ23" r:id="rId35" xr:uid="{26DF08D6-5941-49D7-928D-E75524CC4611}"/>
    <hyperlink ref="BB21" r:id="rId36" xr:uid="{CB03D3FF-44A4-4D8D-9CA0-F966C4A44E98}"/>
    <hyperlink ref="BG25" r:id="rId37" xr:uid="{2F55BA1A-309F-446C-8929-E107B66339D8}"/>
    <hyperlink ref="AJ12" r:id="rId38" xr:uid="{EB13A944-1204-49EB-8242-A1DA3288DEBA}"/>
    <hyperlink ref="AJ25" r:id="rId39" xr:uid="{3C5DAE5A-A6B4-4DDB-A320-762CD4EAA9A5}"/>
    <hyperlink ref="AJ29" r:id="rId40" xr:uid="{2C77AFFF-8ACD-4B47-A710-0FED5AD7C33D}"/>
    <hyperlink ref="BD6" r:id="rId41" xr:uid="{6FB9CE98-D26A-488E-AF19-513169C28920}"/>
    <hyperlink ref="AJ3" r:id="rId42" display="https://www.globalpointofcare.abbott/ww/en/product-details/afinion2-analyzer.html                                                                                                                                                                                                                                                    " xr:uid="{94764907-6C76-4D90-A9B6-4FD6BF6AA828}"/>
    <hyperlink ref="AJ5" r:id="rId43" xr:uid="{A27D4DDB-6278-424C-AA17-5761B6914077}"/>
    <hyperlink ref="AJ15" r:id="rId44" xr:uid="{89F6C201-809F-41CE-800B-A638374AC833}"/>
    <hyperlink ref="AJ35" r:id="rId45" xr:uid="{025329AC-3163-418E-969A-9C892D7F9D21}"/>
    <hyperlink ref="AJ34" r:id="rId46" xr:uid="{916D8286-B0AE-4C85-90A1-71A79E427FE0}"/>
    <hyperlink ref="AJ33" r:id="rId47" xr:uid="{1D39227D-92BB-4CA0-B211-B5FB9999CA71}"/>
    <hyperlink ref="AJ31" r:id="rId48" xr:uid="{08C351D6-ECDA-4110-B007-4407123C7965}"/>
    <hyperlink ref="AJ30" r:id="rId49" xr:uid="{34C54486-5EF8-488B-A50C-6E9273A592D9}"/>
    <hyperlink ref="AJ28" r:id="rId50" xr:uid="{A3AA3738-01D3-4B37-B47C-27C319E03DCA}"/>
    <hyperlink ref="AJ27" r:id="rId51" xr:uid="{D1D9C813-B74D-4248-A66C-90F5AD8125B6}"/>
    <hyperlink ref="AJ26" r:id="rId52" xr:uid="{4032301C-DCE1-47FE-BAAA-775F838F6081}"/>
    <hyperlink ref="AJ24" r:id="rId53" xr:uid="{6F2D74D9-8CF8-422B-95FD-7F9A096EA70D}"/>
    <hyperlink ref="AJ17" r:id="rId54" xr:uid="{CF8C4767-6DD9-45DA-851E-897A7076DB37}"/>
    <hyperlink ref="AJ18" r:id="rId55" display="https://www.sinocare.com/en/proinfo_18.html" xr:uid="{5B339E45-FD74-4D69-8EAE-2B1D95C9DF53}"/>
    <hyperlink ref="AJ11" r:id="rId56" xr:uid="{EC4D895C-7FF4-41EA-A0D5-2363576020CA}"/>
    <hyperlink ref="AJ10" r:id="rId57" xr:uid="{619CA513-C7DA-4A67-AADA-1478D178D114}"/>
    <hyperlink ref="AJ8" r:id="rId58" xr:uid="{24E6CC11-9221-4664-A7F7-15133ACCD0DC}"/>
    <hyperlink ref="BG15" r:id="rId59" xr:uid="{DC8FD20E-FF62-4426-9625-62E2816BB780}"/>
    <hyperlink ref="BA25" r:id="rId60" xr:uid="{26D11735-634D-4981-A5F0-4DA2C7C04C81}"/>
    <hyperlink ref="BG26" r:id="rId61" display="https://www.genrui-bio.com/live-from-bangkok-genrui-at-medlab-asia--asia-heal.html" xr:uid="{08F53852-F28B-4F2A-977D-34C1F33726FB}"/>
    <hyperlink ref="AJ6" r:id="rId62" xr:uid="{0FF4D29F-A959-49DF-B7E8-9E3FED6F790C}"/>
    <hyperlink ref="AJ13" r:id="rId63" xr:uid="{C189B401-9712-4250-9F2B-765B337E06F6}"/>
    <hyperlink ref="AJ14" r:id="rId64" xr:uid="{D7BBDF36-ED90-4282-A805-F06F920855F4}"/>
    <hyperlink ref="BA9" r:id="rId65" xr:uid="{31F873AA-644D-41CC-A9EE-A4FC8125C13A}"/>
    <hyperlink ref="BD9" r:id="rId66" xr:uid="{9F887CCB-2E65-4E3D-AE4B-92D6C14363B6}"/>
    <hyperlink ref="BB9" r:id="rId67" xr:uid="{4D0C0ACB-FE27-474C-BA4F-8ABE729E2AB7}"/>
    <hyperlink ref="BG9" r:id="rId68" xr:uid="{F03CD3F4-627A-4C3E-8463-85A16B80DFDB}"/>
    <hyperlink ref="BA11" r:id="rId69" xr:uid="{495B27E0-4CE9-45AA-9983-411D2B1BD43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8A22-BD31-4272-B61D-52AD020560C2}">
  <sheetPr codeName="Sheet6">
    <pageSetUpPr autoPageBreaks="0" fitToPage="1"/>
  </sheetPr>
  <dimension ref="A1:N67"/>
  <sheetViews>
    <sheetView showGridLines="0" showRowColHeaders="0" tabSelected="1" zoomScale="90" zoomScaleNormal="90" workbookViewId="0">
      <selection activeCell="B24" sqref="B24"/>
    </sheetView>
  </sheetViews>
  <sheetFormatPr defaultColWidth="0" defaultRowHeight="16.5" zeroHeight="1" x14ac:dyDescent="0.3"/>
  <cols>
    <col min="1" max="1" width="13.375" customWidth="1"/>
    <col min="2" max="2" width="35.375" customWidth="1"/>
    <col min="3" max="3" width="26.625" customWidth="1"/>
    <col min="4" max="4" width="20.875" customWidth="1"/>
    <col min="5" max="5" width="25.625" customWidth="1"/>
    <col min="6" max="6" width="37.375" customWidth="1"/>
    <col min="7" max="7" width="19.75" customWidth="1"/>
    <col min="8" max="8" width="27.125" customWidth="1"/>
    <col min="9" max="9" width="17.75" customWidth="1"/>
    <col min="10" max="10" width="17.875" customWidth="1"/>
    <col min="11" max="11" width="21.875" customWidth="1"/>
    <col min="12" max="12" width="17.625" customWidth="1"/>
    <col min="13" max="13" width="22.25" hidden="1" customWidth="1"/>
    <col min="14" max="14" width="6" hidden="1" customWidth="1"/>
    <col min="15" max="16384" width="8" hidden="1"/>
  </cols>
  <sheetData>
    <row r="1" spans="2:12" ht="1.5" customHeight="1" x14ac:dyDescent="0.3"/>
    <row r="2" spans="2:12" ht="19.5" customHeight="1" x14ac:dyDescent="0.3">
      <c r="B2" s="154" t="s">
        <v>1005</v>
      </c>
      <c r="C2" s="154" t="s">
        <v>1006</v>
      </c>
    </row>
    <row r="3" spans="2:12" ht="58.5" customHeight="1" x14ac:dyDescent="0.3">
      <c r="B3" s="156" t="s">
        <v>877</v>
      </c>
      <c r="C3" s="157" t="s">
        <v>877</v>
      </c>
    </row>
    <row r="4" spans="2:12" ht="8.25" customHeight="1" x14ac:dyDescent="0.3"/>
    <row r="5" spans="2:12" ht="18" customHeight="1" x14ac:dyDescent="0.3"/>
    <row r="6" spans="2:12" x14ac:dyDescent="0.3"/>
    <row r="7" spans="2:12" ht="9" customHeight="1" x14ac:dyDescent="0.3"/>
    <row r="8" spans="2:12" ht="7.5" customHeight="1" x14ac:dyDescent="0.3"/>
    <row r="9" spans="2:12" ht="114" customHeight="1" x14ac:dyDescent="0.3">
      <c r="B9" s="159" t="str">
        <f>_xlfn.XLOOKUP($C$3,Table2[Product Name],Table2[Traceable/Certifications])</f>
        <v>-</v>
      </c>
      <c r="C9" s="152" t="str">
        <f>_xlfn.XLOOKUP($C$3,Table2[Product Name],Table2[Manufacturer])</f>
        <v>-</v>
      </c>
      <c r="D9" s="152" t="str">
        <f>_xlfn.XLOOKUP($C$3,Table2[Product Name],Table2[Method])</f>
        <v>-</v>
      </c>
      <c r="E9" s="152" t="str">
        <f>_xlfn.XLOOKUP($C$3,Table2[Product Name],Table2[Test Design])</f>
        <v>-</v>
      </c>
      <c r="F9" s="152" t="str">
        <f>_xlfn.XLOOKUP($C$3,Table2[Product Name],Table2[Stringent Regulatory Approvals])</f>
        <v>-</v>
      </c>
      <c r="G9" s="152" t="str">
        <f>_xlfn.XLOOKUP($C$3,Table2[Product Name],Table2[Device Design])</f>
        <v>-</v>
      </c>
      <c r="H9" s="152" t="str">
        <f>_xlfn.XLOOKUP($C$3,Table2[Product Name],Table2[Dimensions in mm])</f>
        <v>-</v>
      </c>
      <c r="I9" s="152" t="str">
        <f>_xlfn.XLOOKUP($C$3,Table2[Product Name],Table2[Volume])</f>
        <v>-</v>
      </c>
      <c r="J9" s="152" t="str">
        <f>_xlfn.XLOOKUP($C$3,Table2[Product Name],Table2[Duration])</f>
        <v>-</v>
      </c>
      <c r="K9" s="152" t="str">
        <f>_xlfn.XLOOKUP($C$3,Table2[Product Name],Table2[Device weight in kg])</f>
        <v>-</v>
      </c>
      <c r="L9" s="149"/>
    </row>
    <row r="10" spans="2:12" x14ac:dyDescent="0.3"/>
    <row r="11" spans="2:12" x14ac:dyDescent="0.3"/>
    <row r="12" spans="2:12" ht="1.5" customHeight="1" x14ac:dyDescent="0.3"/>
    <row r="13" spans="2:12" ht="21.75" customHeight="1" x14ac:dyDescent="0.3"/>
    <row r="14" spans="2:12" ht="190.15" customHeight="1" x14ac:dyDescent="0.3">
      <c r="B14" s="159" t="str">
        <f>_xlfn.XLOOKUP($C$3,Table2[Product Name],Table2[Sample Prep])</f>
        <v>-</v>
      </c>
      <c r="C14" s="152" t="str">
        <f>_xlfn.XLOOKUP($C$3,Table2[Product Name],Table2[Additional Test])</f>
        <v>-</v>
      </c>
      <c r="D14" s="152" t="str">
        <f>_xlfn.XLOOKUP($C$3,Table2[Product Name],Table2[Reporting Units])</f>
        <v>-</v>
      </c>
      <c r="E14" s="152" t="str">
        <f>_xlfn.XLOOKUP($C$3,Table2[Product Name],Table2[User])</f>
        <v>-</v>
      </c>
      <c r="F14" s="159" t="str">
        <f>_xlfn.XLOOKUP($C$3,Table2[Product Name],Table2[Use])</f>
        <v>-</v>
      </c>
      <c r="G14" s="152" t="str">
        <f>_xlfn.XLOOKUP($C$3,Table2[Product Name],Table2[Handling])</f>
        <v>-</v>
      </c>
      <c r="H14" s="152" t="str">
        <f>_xlfn.XLOOKUP($C$3,Table2[Product Name],Table2[Type of Sample])</f>
        <v>-</v>
      </c>
      <c r="I14" s="159" t="str">
        <f>_xlfn.XLOOKUP($C$3,Table2[Product Name],Table2[Control])</f>
        <v>-</v>
      </c>
      <c r="J14" s="159" t="str">
        <f>_xlfn.XLOOKUP($C$3,Table2[Product Name],Table2[Not provided])</f>
        <v>-</v>
      </c>
      <c r="K14" s="159" t="str">
        <f>_xlfn.XLOOKUP($C$3,Table2[Product Name],Table2[[Equipment ]])</f>
        <v>-</v>
      </c>
    </row>
    <row r="15" spans="2:12" ht="39.75" customHeight="1" x14ac:dyDescent="0.3"/>
    <row r="16" spans="2:12" ht="17.25" customHeight="1" x14ac:dyDescent="0.3"/>
    <row r="17" spans="1:14" ht="0.75" customHeight="1" x14ac:dyDescent="0.3"/>
    <row r="18" spans="1:14" ht="224.45" customHeight="1" x14ac:dyDescent="0.3">
      <c r="B18" s="152" t="str">
        <f>_xlfn.XLOOKUP($C$3,Table2[Product Name],Table2[[Storage temeprature ]])</f>
        <v>-</v>
      </c>
      <c r="C18" s="152" t="str">
        <f>_xlfn.XLOOKUP($C$3,Table2[Product Name],Table2[Calibration])</f>
        <v>-</v>
      </c>
      <c r="D18" s="152" t="str">
        <f>_xlfn.XLOOKUP($C$3,Table2[Product Name],Table2[[Shelf life ]])</f>
        <v>-</v>
      </c>
      <c r="E18" s="152" t="str">
        <f>_xlfn.XLOOKUP($C$3,Table2[Product Name],Table2[Precision])</f>
        <v>-</v>
      </c>
      <c r="F18" s="159" t="str">
        <f>_xlfn.XLOOKUP($C$3,Table2[Product Name],Table2[Limitation])</f>
        <v>-</v>
      </c>
      <c r="G18" s="152" t="str">
        <f>_xlfn.XLOOKUP($C$3,Table2[Product Name],Table2[Reference Range])</f>
        <v>-</v>
      </c>
      <c r="H18" s="159" t="str">
        <f>_xlfn.XLOOKUP($C$3,Table2[Product Name],Table2[Interference])</f>
        <v>-</v>
      </c>
      <c r="I18" s="152" t="str">
        <f>_xlfn.XLOOKUP($C$3,Table2[Product Name],Table2[Data Export])</f>
        <v>-</v>
      </c>
      <c r="J18" s="152" t="str">
        <f>_xlfn.XLOOKUP($C$3,Table2[Product Name],Table2[Humidity])</f>
        <v>-</v>
      </c>
      <c r="K18" s="152" t="str">
        <f>_xlfn.XLOOKUP($C$3,Table2[Product Name],Table2[Operating temperature])</f>
        <v>-</v>
      </c>
    </row>
    <row r="19" spans="1:14" ht="5.25" customHeight="1" x14ac:dyDescent="0.3"/>
    <row r="20" spans="1:14" x14ac:dyDescent="0.3">
      <c r="E20" s="54">
        <v>2</v>
      </c>
    </row>
    <row r="21" spans="1:14" ht="24.75" customHeight="1" x14ac:dyDescent="0.3"/>
    <row r="22" spans="1:14" ht="57.6" customHeight="1" x14ac:dyDescent="0.3">
      <c r="B22" s="159" t="str">
        <f>_xlfn.XLOOKUP($C$3,Table2[Product Name],Table2[Power])</f>
        <v>-</v>
      </c>
      <c r="C22" s="160" t="str">
        <f>_xlfn.XLOOKUP($C$3,Table2[Product Name],Table2[Display])</f>
        <v>-</v>
      </c>
      <c r="D22" s="152" t="str">
        <f>_xlfn.XLOOKUP($C$3,Table2[Product Name],Table2[Memory])</f>
        <v>-</v>
      </c>
      <c r="E22" s="155" t="str">
        <f>HYPERLINK(_xlfn.XLOOKUP($C$3,Table2[Product Name],Table2[Resources]),"Click here")</f>
        <v>Click here</v>
      </c>
      <c r="F22" s="140"/>
      <c r="G22" s="137"/>
    </row>
    <row r="23" spans="1:14" ht="15.75" customHeight="1" x14ac:dyDescent="0.3">
      <c r="B23" s="88"/>
      <c r="C23" s="88"/>
    </row>
    <row r="24" spans="1:14" ht="35.25" customHeight="1" x14ac:dyDescent="0.3">
      <c r="B24" s="158" t="s">
        <v>879</v>
      </c>
      <c r="C24" s="88"/>
      <c r="E24" s="143"/>
      <c r="F24" s="142"/>
      <c r="G24" s="90"/>
      <c r="H24" s="153"/>
      <c r="I24" s="89"/>
    </row>
    <row r="25" spans="1:14" ht="21" customHeight="1" x14ac:dyDescent="0.3">
      <c r="A25" s="22"/>
      <c r="B25" s="144"/>
      <c r="D25" s="47"/>
      <c r="E25" s="136"/>
      <c r="F25" s="136"/>
      <c r="G25" s="136"/>
      <c r="H25" s="136"/>
    </row>
    <row r="26" spans="1:14" ht="27.75" customHeight="1" x14ac:dyDescent="0.3">
      <c r="A26" s="22"/>
      <c r="C26" s="22"/>
      <c r="D26" s="22"/>
      <c r="E26" s="136"/>
      <c r="G26" s="136"/>
      <c r="H26" s="136"/>
      <c r="I26" s="22"/>
      <c r="J26" s="22"/>
      <c r="K26" s="22"/>
      <c r="L26" s="22"/>
      <c r="M26" s="22"/>
      <c r="N26" s="47"/>
    </row>
    <row r="27" spans="1:14" ht="51.75" customHeight="1" x14ac:dyDescent="0.3">
      <c r="B27" s="142" t="s">
        <v>13</v>
      </c>
      <c r="C27" s="90" t="s">
        <v>71</v>
      </c>
      <c r="D27" s="141" t="s">
        <v>11</v>
      </c>
      <c r="E27" s="146" t="s">
        <v>294</v>
      </c>
      <c r="F27" s="145"/>
      <c r="G27" s="136"/>
      <c r="H27" s="136"/>
    </row>
    <row r="28" spans="1:14" ht="30" customHeight="1" x14ac:dyDescent="0.3">
      <c r="A28" s="83"/>
      <c r="B28" s="150" t="str" cm="1">
        <f t="array" ref="B28">_xlfn._xlws.FILTER(Table2__2[Product Name], (Table2__2[Attribute]=$B$24) * (Table2__2[Type of test]=IF($E$20=1, "HbA1c", "HbA1c plus other tests")) * (Table2__2[Value]=$B$27), "NA")</f>
        <v>NA</v>
      </c>
      <c r="C28" s="150" t="str" cm="1">
        <f t="array" ref="C28">_xlfn._xlws.FILTER(Table2__2[Product Name], (Table2__2[Attribute]=$B$24) * (Table2__2[Type of test]=IF($E$20=1, "HbA1c", "HbA1c plus other tests")) * (Table2__2[Value]=$C$27), "NA")</f>
        <v>NA</v>
      </c>
      <c r="D28" s="150" t="str" cm="1">
        <f t="array" ref="D28">_xlfn._xlws.FILTER(Table2__2[Product Name], (Table2__2[Attribute]=$B$24) * (Table2__2[Type of test]=IF($E$20=1, "HbA1c", "HbA1c plus other tests")) * (Table2__2[Value]=$D$27), "NA")</f>
        <v>NA</v>
      </c>
      <c r="E28" s="150" t="str" cm="1">
        <f t="array" ref="E28">_xlfn._xlws.FILTER(Table2__2[Product Name], (Table2__2[Attribute]=$B$24) * (Table2__2[Type of test]=IF($E$20=1, "HbA1c", "HbA1c plus other tests")) * (Table2__2[Value]=$E$27), "NA")</f>
        <v>NA</v>
      </c>
      <c r="F28" s="136"/>
      <c r="G28" s="136"/>
      <c r="H28" s="136"/>
      <c r="I28" s="22"/>
    </row>
    <row r="29" spans="1:14" ht="30" customHeight="1" x14ac:dyDescent="0.3">
      <c r="B29" s="144"/>
      <c r="C29" s="144"/>
      <c r="D29" s="144"/>
      <c r="E29" s="144"/>
      <c r="F29" s="136"/>
      <c r="G29" s="136"/>
      <c r="H29" s="136"/>
    </row>
    <row r="30" spans="1:14" ht="30" customHeight="1" x14ac:dyDescent="0.3">
      <c r="B30" s="144"/>
      <c r="C30" s="144"/>
      <c r="D30" s="144"/>
      <c r="E30" s="145"/>
      <c r="F30" s="136"/>
      <c r="G30" s="136"/>
      <c r="H30" s="136"/>
    </row>
    <row r="31" spans="1:14" ht="30" customHeight="1" x14ac:dyDescent="0.3">
      <c r="B31" s="144"/>
      <c r="C31" s="144"/>
      <c r="D31" s="144"/>
      <c r="E31" s="145"/>
      <c r="F31" s="136"/>
      <c r="G31" s="136"/>
      <c r="H31" s="136"/>
    </row>
    <row r="32" spans="1:14" ht="30" customHeight="1" x14ac:dyDescent="0.3">
      <c r="B32" s="144"/>
      <c r="C32" s="144"/>
      <c r="D32" s="144"/>
      <c r="E32" s="145"/>
      <c r="F32" s="136"/>
      <c r="G32" s="136"/>
      <c r="H32" s="136"/>
    </row>
    <row r="33" spans="2:8" ht="30" customHeight="1" x14ac:dyDescent="0.3">
      <c r="B33" s="144"/>
      <c r="C33" s="144"/>
      <c r="D33" s="144"/>
      <c r="E33" s="145"/>
      <c r="F33" s="136"/>
      <c r="G33" s="136"/>
      <c r="H33" s="136"/>
    </row>
    <row r="34" spans="2:8" ht="30" customHeight="1" x14ac:dyDescent="0.3">
      <c r="B34" s="144"/>
      <c r="C34" s="144"/>
      <c r="D34" s="144"/>
      <c r="E34" s="145"/>
      <c r="F34" s="136"/>
      <c r="G34" s="136"/>
      <c r="H34" s="136"/>
    </row>
    <row r="35" spans="2:8" ht="36.75" customHeight="1" x14ac:dyDescent="0.3">
      <c r="B35" s="144"/>
      <c r="C35" s="144"/>
      <c r="D35" s="144"/>
      <c r="E35" s="145"/>
      <c r="F35" s="136"/>
      <c r="G35" s="136"/>
      <c r="H35" s="136"/>
    </row>
    <row r="36" spans="2:8" ht="40.5" customHeight="1" x14ac:dyDescent="0.3">
      <c r="B36" s="144"/>
      <c r="C36" s="144"/>
      <c r="D36" s="144"/>
      <c r="E36" s="145"/>
      <c r="F36" s="136"/>
      <c r="G36" s="136"/>
      <c r="H36" s="136"/>
    </row>
    <row r="37" spans="2:8" ht="30" customHeight="1" x14ac:dyDescent="0.3">
      <c r="B37" s="144"/>
      <c r="C37" s="144"/>
      <c r="D37" s="144"/>
      <c r="E37" s="145"/>
      <c r="F37" s="136"/>
      <c r="G37" s="136"/>
      <c r="H37" s="136"/>
    </row>
    <row r="38" spans="2:8" ht="30" customHeight="1" x14ac:dyDescent="0.3">
      <c r="B38" s="144"/>
      <c r="C38" s="144"/>
      <c r="D38" s="144"/>
      <c r="E38" s="145"/>
      <c r="F38" s="136"/>
      <c r="G38" s="136"/>
      <c r="H38" s="136"/>
    </row>
    <row r="39" spans="2:8" ht="30" customHeight="1" x14ac:dyDescent="0.3">
      <c r="B39" s="144"/>
      <c r="C39" s="144"/>
      <c r="D39" s="144"/>
      <c r="E39" s="145"/>
      <c r="F39" s="136"/>
      <c r="G39" s="136"/>
      <c r="H39" s="136"/>
    </row>
    <row r="40" spans="2:8" ht="30" customHeight="1" x14ac:dyDescent="0.3">
      <c r="B40" s="144"/>
      <c r="C40" s="144"/>
      <c r="D40" s="144"/>
      <c r="E40" s="145"/>
      <c r="F40" s="136"/>
      <c r="G40" s="136"/>
      <c r="H40" s="136"/>
    </row>
    <row r="41" spans="2:8" ht="30" customHeight="1" x14ac:dyDescent="0.3">
      <c r="B41" s="144"/>
      <c r="C41" s="144"/>
      <c r="D41" s="144"/>
      <c r="E41" s="145"/>
      <c r="F41" s="136"/>
      <c r="G41" s="136"/>
      <c r="H41" s="136"/>
    </row>
    <row r="42" spans="2:8" ht="30" customHeight="1" x14ac:dyDescent="0.3">
      <c r="B42" s="144"/>
      <c r="C42" s="144"/>
      <c r="D42" s="144"/>
      <c r="E42" s="145"/>
      <c r="F42" s="136"/>
      <c r="G42" s="136"/>
      <c r="H42" s="136"/>
    </row>
    <row r="43" spans="2:8" ht="30" customHeight="1" x14ac:dyDescent="0.3">
      <c r="B43" s="144"/>
      <c r="C43" s="144"/>
      <c r="D43" s="144"/>
      <c r="E43" s="145"/>
      <c r="F43" s="136"/>
      <c r="G43" s="136"/>
      <c r="H43" s="136"/>
    </row>
    <row r="44" spans="2:8" ht="30" customHeight="1" x14ac:dyDescent="0.3">
      <c r="B44" s="144"/>
      <c r="C44" s="144"/>
      <c r="D44" s="144"/>
      <c r="E44" s="145"/>
      <c r="F44" s="136"/>
      <c r="G44" s="136"/>
      <c r="H44" s="136"/>
    </row>
    <row r="45" spans="2:8" ht="30" customHeight="1" x14ac:dyDescent="0.3">
      <c r="B45" s="144"/>
      <c r="C45" s="144"/>
      <c r="D45" s="144"/>
      <c r="E45" s="145"/>
      <c r="F45" s="136"/>
      <c r="G45" s="136"/>
      <c r="H45" s="136"/>
    </row>
    <row r="46" spans="2:8" ht="30" customHeight="1" x14ac:dyDescent="0.3">
      <c r="B46" s="144"/>
      <c r="C46" s="144"/>
      <c r="D46" s="144"/>
      <c r="E46" s="145"/>
      <c r="F46" s="136"/>
      <c r="G46" s="136"/>
      <c r="H46" s="136"/>
    </row>
    <row r="47" spans="2:8" ht="30" customHeight="1" x14ac:dyDescent="0.3">
      <c r="B47" s="144"/>
      <c r="C47" s="144"/>
      <c r="D47" s="144"/>
      <c r="E47" s="145"/>
      <c r="F47" s="136"/>
      <c r="G47" s="136"/>
      <c r="H47" s="136"/>
    </row>
    <row r="48" spans="2:8" ht="30" customHeight="1" x14ac:dyDescent="0.3">
      <c r="B48" s="144"/>
      <c r="C48" s="144"/>
      <c r="D48" s="144"/>
      <c r="E48" s="145"/>
      <c r="F48" s="136"/>
      <c r="G48" s="136"/>
      <c r="H48" s="136"/>
    </row>
    <row r="49" spans="3:8" x14ac:dyDescent="0.3">
      <c r="E49" s="136"/>
      <c r="F49" s="136"/>
      <c r="G49" s="136"/>
      <c r="H49" s="136"/>
    </row>
    <row r="50" spans="3:8" x14ac:dyDescent="0.3">
      <c r="E50" s="136"/>
      <c r="F50" s="136"/>
      <c r="G50" s="136"/>
      <c r="H50" s="136"/>
    </row>
    <row r="51" spans="3:8" x14ac:dyDescent="0.3">
      <c r="E51" s="136"/>
      <c r="F51" s="136"/>
      <c r="G51" s="136"/>
      <c r="H51" s="136"/>
    </row>
    <row r="52" spans="3:8" x14ac:dyDescent="0.3">
      <c r="E52" s="136"/>
      <c r="F52" s="136"/>
      <c r="G52" s="136"/>
      <c r="H52" s="136"/>
    </row>
    <row r="53" spans="3:8" x14ac:dyDescent="0.3">
      <c r="C53" s="54"/>
      <c r="E53" s="136"/>
      <c r="F53" s="136"/>
      <c r="G53" s="136"/>
      <c r="H53" s="136"/>
    </row>
    <row r="54" spans="3:8" x14ac:dyDescent="0.3">
      <c r="E54" s="136"/>
      <c r="F54" s="136"/>
      <c r="G54" s="136"/>
      <c r="H54" s="136"/>
    </row>
    <row r="55" spans="3:8" x14ac:dyDescent="0.3">
      <c r="E55" s="136"/>
      <c r="F55" s="136"/>
      <c r="G55" s="136"/>
      <c r="H55" s="136"/>
    </row>
    <row r="56" spans="3:8" x14ac:dyDescent="0.3">
      <c r="E56" s="136"/>
      <c r="F56" s="136"/>
      <c r="G56" s="136"/>
      <c r="H56" s="136"/>
    </row>
    <row r="57" spans="3:8" x14ac:dyDescent="0.3">
      <c r="F57" s="135"/>
    </row>
    <row r="61" spans="3:8" ht="11.25" hidden="1" customHeight="1" x14ac:dyDescent="0.3"/>
    <row r="65" customFormat="1" hidden="1" x14ac:dyDescent="0.3"/>
    <row r="66" customFormat="1" hidden="1" x14ac:dyDescent="0.3"/>
    <row r="67" customFormat="1" hidden="1" x14ac:dyDescent="0.3"/>
  </sheetData>
  <sheetProtection algorithmName="SHA-512" hashValue="jzRXXxiYcDRN+eu99yHItyh/dQH8gTzHNko7/ZE/RR94tq/L/vzJL0kr2PD1ak1y3KZ6XjjeUKg9NLZD62LFQg==" saltValue="DS4Ic0XXXIbXCyIyKrvygA==" spinCount="100000" sheet="1" objects="1" scenarios="1" selectLockedCells="1"/>
  <pageMargins left="0.25" right="0.25" top="0.75" bottom="0.75" header="0.3" footer="0.3"/>
  <pageSetup fitToHeight="0" orientation="landscape" r:id="rId1"/>
  <drawing r:id="rId2"/>
  <legacyDrawing r:id="rId3"/>
  <picture r:id="rId4"/>
  <controls>
    <mc:AlternateContent xmlns:mc="http://schemas.openxmlformats.org/markup-compatibility/2006">
      <mc:Choice Requires="x14">
        <control shapeId="1038" r:id="rId5" name="OptionButton2">
          <controlPr locked="0" defaultSize="0" autoLine="0" autoPict="0" r:id="rId6">
            <anchor moveWithCells="1">
              <from>
                <xdr:col>3</xdr:col>
                <xdr:colOff>695325</xdr:colOff>
                <xdr:row>24</xdr:row>
                <xdr:rowOff>171450</xdr:rowOff>
              </from>
              <to>
                <xdr:col>4</xdr:col>
                <xdr:colOff>1685925</xdr:colOff>
                <xdr:row>25</xdr:row>
                <xdr:rowOff>200025</xdr:rowOff>
              </to>
            </anchor>
          </controlPr>
        </control>
      </mc:Choice>
      <mc:Fallback>
        <control shapeId="1038" r:id="rId5" name="OptionButton2"/>
      </mc:Fallback>
    </mc:AlternateContent>
    <mc:AlternateContent xmlns:mc="http://schemas.openxmlformats.org/markup-compatibility/2006">
      <mc:Choice Requires="x14">
        <control shapeId="1037" r:id="rId7" name="OptionButton1">
          <controlPr locked="0" defaultSize="0" autoLine="0" r:id="rId8">
            <anchor moveWithCells="1">
              <from>
                <xdr:col>2</xdr:col>
                <xdr:colOff>1466850</xdr:colOff>
                <xdr:row>24</xdr:row>
                <xdr:rowOff>180975</xdr:rowOff>
              </from>
              <to>
                <xdr:col>3</xdr:col>
                <xdr:colOff>476250</xdr:colOff>
                <xdr:row>25</xdr:row>
                <xdr:rowOff>209550</xdr:rowOff>
              </to>
            </anchor>
          </controlPr>
        </control>
      </mc:Choice>
      <mc:Fallback>
        <control shapeId="1037" r:id="rId7" name="OptionButton1"/>
      </mc:Fallback>
    </mc:AlternateContent>
    <mc:AlternateContent xmlns:mc="http://schemas.openxmlformats.org/markup-compatibility/2006">
      <mc:Choice Requires="x14">
        <control shapeId="1036" r:id="rId9" name="Group Box 12">
          <controlPr defaultSize="0" autoFill="0" autoPict="0">
            <anchor moveWithCells="1">
              <from>
                <xdr:col>2</xdr:col>
                <xdr:colOff>1371600</xdr:colOff>
                <xdr:row>24</xdr:row>
                <xdr:rowOff>104775</xdr:rowOff>
              </from>
              <to>
                <xdr:col>4</xdr:col>
                <xdr:colOff>1943100</xdr:colOff>
                <xdr:row>25</xdr:row>
                <xdr:rowOff>314325</xdr:rowOff>
              </to>
            </anchor>
          </controlPr>
        </control>
      </mc:Choice>
    </mc:AlternateContent>
    <mc:AlternateContent xmlns:mc="http://schemas.openxmlformats.org/markup-compatibility/2006">
      <mc:Choice Requires="x14">
        <control shapeId="1056" r:id="rId10" name="Button 32">
          <controlPr locked="0" defaultSize="0" print="0" autoFill="0" autoPict="0" macro="[0]!Button32_Click">
            <anchor moveWithCells="1" sizeWithCells="1">
              <from>
                <xdr:col>7</xdr:col>
                <xdr:colOff>685800</xdr:colOff>
                <xdr:row>23</xdr:row>
                <xdr:rowOff>66675</xdr:rowOff>
              </from>
              <to>
                <xdr:col>8</xdr:col>
                <xdr:colOff>57150</xdr:colOff>
                <xdr:row>24</xdr:row>
                <xdr:rowOff>142875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87A0B778-40CF-447D-B570-FE6E2E858CED}">
          <x14:formula1>
            <xm:f>Data_base!$A$54:$C$54</xm:f>
          </x14:formula1>
          <xm:sqref>B3</xm:sqref>
        </x14:dataValidation>
        <x14:dataValidation type="list" allowBlank="1" showInputMessage="1" showErrorMessage="1" xr:uid="{DE602033-209F-49C3-892E-6E19ED0E2B50}">
          <x14:formula1>
            <xm:f>_xlfn.XLOOKUP($B$3,Data_base!$A$54:$C$54,Data_base!$A$55:$C$87)</xm:f>
          </x14:formula1>
          <xm:sqref>C3</xm:sqref>
        </x14:dataValidation>
        <x14:dataValidation type="list" allowBlank="1" showInputMessage="1" showErrorMessage="1" xr:uid="{285B22FD-D61B-40EC-B749-C5540604B774}">
          <x14:formula1>
            <xm:f>Data_base!$E$56:$E$67</xm:f>
          </x14:formula1>
          <xm:sqref>B24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5AFFB19-C899-445E-9998-81E17F34DAE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country_level product</vt:lpstr>
      <vt:lpstr>Data_base</vt:lpstr>
      <vt:lpstr>HbA1c only devices</vt:lpstr>
      <vt:lpstr>HbA1c and multitesting devices</vt:lpstr>
      <vt:lpstr>Landscape analysis tool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sagar</dc:creator>
  <cp:keywords/>
  <dc:description/>
  <cp:lastModifiedBy>SAGAR S KOTIAN - 232806008 - PSPHMPL</cp:lastModifiedBy>
  <cp:revision/>
  <cp:lastPrinted>2025-03-18T19:39:46Z</cp:lastPrinted>
  <dcterms:created xsi:type="dcterms:W3CDTF">2015-06-05T18:17:20Z</dcterms:created>
  <dcterms:modified xsi:type="dcterms:W3CDTF">2025-03-19T04:53:53Z</dcterms:modified>
  <cp:category/>
  <cp:contentStatus/>
</cp:coreProperties>
</file>